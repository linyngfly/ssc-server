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0" windowWidth="28695" windowHeight="15000" activeTab="1"/>
  </bookViews>
  <sheets>
    <sheet name="数据统计" sheetId="5" r:id="rId1"/>
    <sheet name="计划内容" sheetId="1" r:id="rId2"/>
    <sheet name="人员动态" sheetId="4" r:id="rId3"/>
  </sheets>
  <definedNames>
    <definedName name="_xlnm._FilterDatabase" localSheetId="1" hidden="1">计划内容!$B$5:$R$259</definedName>
    <definedName name="_xlnm._FilterDatabase" localSheetId="2" hidden="1">人员动态!$A$1:$I$1</definedName>
    <definedName name="_xlnm.Criteria" localSheetId="1">计划内容!#REF!</definedName>
    <definedName name="组合1">计划内容!$U$14</definedName>
  </definedNames>
  <calcPr calcId="145621"/>
  <fileRecoveryPr autoRecover="0"/>
</workbook>
</file>

<file path=xl/calcChain.xml><?xml version="1.0" encoding="utf-8"?>
<calcChain xmlns="http://schemas.openxmlformats.org/spreadsheetml/2006/main">
  <c r="M6" i="1" l="1"/>
  <c r="M7" i="1"/>
  <c r="M8" i="1"/>
  <c r="M9" i="1"/>
  <c r="M10" i="1"/>
  <c r="M11" i="1"/>
  <c r="M13" i="1"/>
  <c r="M15" i="1"/>
  <c r="M17" i="1"/>
  <c r="M20" i="1"/>
  <c r="M21" i="1"/>
  <c r="M22" i="1"/>
  <c r="M23" i="1"/>
  <c r="M25" i="1"/>
  <c r="M26" i="1"/>
  <c r="M27" i="1"/>
  <c r="M28" i="1"/>
  <c r="M29" i="1"/>
  <c r="M30" i="1"/>
  <c r="M31" i="1"/>
  <c r="M32" i="1"/>
  <c r="M33" i="1"/>
  <c r="M34" i="1"/>
  <c r="M36" i="1"/>
  <c r="M37" i="1"/>
  <c r="M38" i="1"/>
  <c r="M18" i="1"/>
  <c r="M39" i="1"/>
  <c r="M19" i="1"/>
  <c r="M42" i="1"/>
  <c r="M43" i="1"/>
  <c r="M44" i="1"/>
  <c r="M45" i="1"/>
  <c r="M46" i="1"/>
  <c r="M49" i="1"/>
  <c r="M50" i="1"/>
  <c r="M52" i="1"/>
  <c r="M69" i="1"/>
  <c r="M53" i="1"/>
  <c r="M54" i="1"/>
  <c r="M55" i="1"/>
  <c r="M56" i="1"/>
  <c r="M58" i="1"/>
  <c r="M59" i="1"/>
  <c r="M60" i="1"/>
  <c r="M61" i="1"/>
  <c r="M62" i="1"/>
  <c r="M63" i="1"/>
  <c r="M64" i="1"/>
  <c r="M65" i="1"/>
  <c r="M66" i="1"/>
  <c r="M67" i="1"/>
  <c r="M68" i="1"/>
  <c r="M72" i="1"/>
  <c r="M73" i="1"/>
  <c r="M74" i="1"/>
  <c r="M75" i="1"/>
  <c r="M80" i="1"/>
  <c r="M81" i="1"/>
  <c r="M82" i="1"/>
  <c r="M83" i="1"/>
  <c r="M84" i="1"/>
  <c r="M85" i="1"/>
  <c r="M86" i="1"/>
  <c r="M76" i="1"/>
  <c r="M77" i="1"/>
  <c r="M78" i="1"/>
  <c r="M79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E6" i="1"/>
  <c r="K6" i="1"/>
  <c r="E7" i="1"/>
  <c r="K7" i="1"/>
  <c r="E8" i="1"/>
  <c r="K8" i="1"/>
  <c r="E9" i="1"/>
  <c r="K9" i="1"/>
  <c r="E10" i="1"/>
  <c r="K10" i="1"/>
  <c r="E11" i="1"/>
  <c r="K11" i="1"/>
  <c r="M12" i="1" s="1"/>
  <c r="E12" i="1"/>
  <c r="K12" i="1"/>
  <c r="E13" i="1"/>
  <c r="K13" i="1"/>
  <c r="M14" i="1" s="1"/>
  <c r="E14" i="1"/>
  <c r="K14" i="1"/>
  <c r="E15" i="1"/>
  <c r="K15" i="1"/>
  <c r="M16" i="1" s="1"/>
  <c r="E16" i="1"/>
  <c r="K16" i="1"/>
  <c r="E17" i="1"/>
  <c r="K17" i="1"/>
  <c r="E20" i="1"/>
  <c r="K20" i="1"/>
  <c r="E21" i="1"/>
  <c r="K21" i="1"/>
  <c r="E22" i="1"/>
  <c r="K22" i="1"/>
  <c r="E23" i="1"/>
  <c r="K23" i="1"/>
  <c r="M24" i="1" s="1"/>
  <c r="E24" i="1"/>
  <c r="K24" i="1"/>
  <c r="E25" i="1"/>
  <c r="K25" i="1"/>
  <c r="E26" i="1"/>
  <c r="K26" i="1"/>
  <c r="E27" i="1"/>
  <c r="K27" i="1"/>
  <c r="E28" i="1"/>
  <c r="K28" i="1"/>
  <c r="E29" i="1"/>
  <c r="K29" i="1"/>
  <c r="E30" i="1"/>
  <c r="K30" i="1"/>
  <c r="E31" i="1"/>
  <c r="K31" i="1"/>
  <c r="E32" i="1"/>
  <c r="K32" i="1"/>
  <c r="E33" i="1"/>
  <c r="K33" i="1"/>
  <c r="E34" i="1"/>
  <c r="K34" i="1"/>
  <c r="M35" i="1" s="1"/>
  <c r="E35" i="1"/>
  <c r="K35" i="1"/>
  <c r="E36" i="1"/>
  <c r="K36" i="1"/>
  <c r="E37" i="1"/>
  <c r="K37" i="1"/>
  <c r="E38" i="1"/>
  <c r="K38" i="1"/>
  <c r="E18" i="1"/>
  <c r="K18" i="1"/>
  <c r="E39" i="1"/>
  <c r="K39" i="1"/>
  <c r="E40" i="1"/>
  <c r="K40" i="1"/>
  <c r="E41" i="1"/>
  <c r="K41" i="1"/>
  <c r="E19" i="1"/>
  <c r="K19" i="1"/>
  <c r="E42" i="1"/>
  <c r="K42" i="1"/>
  <c r="E43" i="1"/>
  <c r="K43" i="1"/>
  <c r="E44" i="1"/>
  <c r="K44" i="1"/>
  <c r="E45" i="1"/>
  <c r="K45" i="1"/>
  <c r="E46" i="1"/>
  <c r="K46" i="1"/>
  <c r="E47" i="1"/>
  <c r="K47" i="1"/>
  <c r="E48" i="1"/>
  <c r="K48" i="1"/>
  <c r="E49" i="1"/>
  <c r="K49" i="1"/>
  <c r="E50" i="1"/>
  <c r="K50" i="1"/>
  <c r="E51" i="1"/>
  <c r="K51" i="1"/>
  <c r="E52" i="1"/>
  <c r="K52" i="1"/>
  <c r="E69" i="1"/>
  <c r="K69" i="1"/>
  <c r="M70" i="1" s="1"/>
  <c r="E70" i="1"/>
  <c r="K70" i="1"/>
  <c r="M71" i="1" s="1"/>
  <c r="E71" i="1"/>
  <c r="K71" i="1"/>
  <c r="E53" i="1"/>
  <c r="K53" i="1"/>
  <c r="E54" i="1"/>
  <c r="K54" i="1"/>
  <c r="E55" i="1"/>
  <c r="K55" i="1"/>
  <c r="E56" i="1"/>
  <c r="K56" i="1"/>
  <c r="E57" i="1"/>
  <c r="K57" i="1"/>
  <c r="E58" i="1"/>
  <c r="K58" i="1"/>
  <c r="E59" i="1"/>
  <c r="K59" i="1"/>
  <c r="E60" i="1"/>
  <c r="K60" i="1"/>
  <c r="E61" i="1"/>
  <c r="K61" i="1"/>
  <c r="E62" i="1"/>
  <c r="K62" i="1"/>
  <c r="E63" i="1"/>
  <c r="K63" i="1"/>
  <c r="E64" i="1"/>
  <c r="K64" i="1"/>
  <c r="E65" i="1"/>
  <c r="K65" i="1"/>
  <c r="E66" i="1"/>
  <c r="K66" i="1"/>
  <c r="E67" i="1"/>
  <c r="K67" i="1"/>
  <c r="E68" i="1"/>
  <c r="K68" i="1"/>
  <c r="E72" i="1"/>
  <c r="K72" i="1"/>
  <c r="E73" i="1"/>
  <c r="K73" i="1"/>
  <c r="E74" i="1"/>
  <c r="K74" i="1"/>
  <c r="E75" i="1"/>
  <c r="K75" i="1"/>
  <c r="E80" i="1"/>
  <c r="K80" i="1"/>
  <c r="E81" i="1"/>
  <c r="K81" i="1"/>
  <c r="E82" i="1"/>
  <c r="K82" i="1"/>
  <c r="E83" i="1"/>
  <c r="K83" i="1"/>
  <c r="E84" i="1"/>
  <c r="K84" i="1"/>
  <c r="E85" i="1"/>
  <c r="K85" i="1"/>
  <c r="E86" i="1"/>
  <c r="K86" i="1"/>
  <c r="E76" i="1"/>
  <c r="K76" i="1"/>
  <c r="E77" i="1"/>
  <c r="K77" i="1"/>
  <c r="E78" i="1"/>
  <c r="K78" i="1"/>
  <c r="E79" i="1"/>
  <c r="K79" i="1"/>
  <c r="E87" i="1"/>
  <c r="K87" i="1"/>
  <c r="E88" i="1"/>
  <c r="K88" i="1"/>
  <c r="E89" i="1"/>
  <c r="K89" i="1"/>
  <c r="E90" i="1"/>
  <c r="K90" i="1"/>
  <c r="E91" i="1"/>
  <c r="K91" i="1"/>
  <c r="E92" i="1"/>
  <c r="K92" i="1"/>
  <c r="E93" i="1"/>
  <c r="K93" i="1"/>
  <c r="E94" i="1"/>
  <c r="K94" i="1"/>
  <c r="E95" i="1"/>
  <c r="K95" i="1"/>
  <c r="E96" i="1"/>
  <c r="K96" i="1"/>
  <c r="E97" i="1"/>
  <c r="K97" i="1"/>
  <c r="E98" i="1"/>
  <c r="K98" i="1"/>
  <c r="E99" i="1"/>
  <c r="K99" i="1"/>
  <c r="E100" i="1"/>
  <c r="K100" i="1"/>
  <c r="E101" i="1"/>
  <c r="K101" i="1"/>
  <c r="E102" i="1"/>
  <c r="K102" i="1"/>
  <c r="E103" i="1"/>
  <c r="K103" i="1"/>
  <c r="E104" i="1"/>
  <c r="K104" i="1"/>
  <c r="E105" i="1"/>
  <c r="K105" i="1"/>
  <c r="E106" i="1"/>
  <c r="K106" i="1"/>
  <c r="E107" i="1"/>
  <c r="K107" i="1"/>
  <c r="E108" i="1"/>
  <c r="K108" i="1"/>
  <c r="E109" i="1"/>
  <c r="K109" i="1"/>
  <c r="E110" i="1"/>
  <c r="K110" i="1"/>
  <c r="E111" i="1"/>
  <c r="K111" i="1"/>
  <c r="E112" i="1"/>
  <c r="K112" i="1"/>
  <c r="E113" i="1"/>
  <c r="K113" i="1"/>
  <c r="E114" i="1"/>
  <c r="K114" i="1"/>
  <c r="E115" i="1"/>
  <c r="K115" i="1"/>
  <c r="E116" i="1"/>
  <c r="K116" i="1"/>
  <c r="E117" i="1"/>
  <c r="K117" i="1"/>
  <c r="E118" i="1"/>
  <c r="K118" i="1"/>
  <c r="E119" i="1"/>
  <c r="K119" i="1"/>
  <c r="E120" i="1"/>
  <c r="K120" i="1"/>
  <c r="E121" i="1"/>
  <c r="K121" i="1"/>
  <c r="E122" i="1"/>
  <c r="K122" i="1"/>
  <c r="E123" i="1"/>
  <c r="K123" i="1"/>
  <c r="E124" i="1"/>
  <c r="K124" i="1"/>
  <c r="E125" i="1"/>
  <c r="K125" i="1"/>
  <c r="E126" i="1"/>
  <c r="K126" i="1"/>
  <c r="E127" i="1"/>
  <c r="K127" i="1"/>
  <c r="E128" i="1"/>
  <c r="K128" i="1"/>
  <c r="E129" i="1"/>
  <c r="K129" i="1"/>
  <c r="E130" i="1"/>
  <c r="K130" i="1"/>
  <c r="E131" i="1"/>
  <c r="K131" i="1"/>
  <c r="E132" i="1"/>
  <c r="K132" i="1"/>
  <c r="E133" i="1"/>
  <c r="K133" i="1"/>
  <c r="E134" i="1"/>
  <c r="K134" i="1"/>
  <c r="E135" i="1"/>
  <c r="K135" i="1"/>
  <c r="E136" i="1"/>
  <c r="K136" i="1"/>
  <c r="E137" i="1"/>
  <c r="K137" i="1"/>
  <c r="E138" i="1"/>
  <c r="K138" i="1"/>
  <c r="E139" i="1"/>
  <c r="K139" i="1"/>
  <c r="E140" i="1"/>
  <c r="K140" i="1"/>
  <c r="E141" i="1"/>
  <c r="K141" i="1"/>
  <c r="E142" i="1"/>
  <c r="K142" i="1"/>
  <c r="E143" i="1"/>
  <c r="K143" i="1"/>
  <c r="E144" i="1"/>
  <c r="K144" i="1"/>
  <c r="E145" i="1"/>
  <c r="K145" i="1"/>
  <c r="E146" i="1"/>
  <c r="K146" i="1"/>
  <c r="E147" i="1"/>
  <c r="K147" i="1"/>
  <c r="E148" i="1"/>
  <c r="K148" i="1"/>
  <c r="E149" i="1"/>
  <c r="K149" i="1"/>
  <c r="E150" i="1"/>
  <c r="K150" i="1"/>
  <c r="E151" i="1"/>
  <c r="K151" i="1"/>
  <c r="E152" i="1"/>
  <c r="K152" i="1"/>
  <c r="E153" i="1"/>
  <c r="K153" i="1"/>
  <c r="E154" i="1"/>
  <c r="K154" i="1"/>
  <c r="E155" i="1"/>
  <c r="K155" i="1"/>
  <c r="E156" i="1"/>
  <c r="K156" i="1"/>
  <c r="E157" i="1"/>
  <c r="K157" i="1"/>
  <c r="E158" i="1"/>
  <c r="K158" i="1"/>
  <c r="E159" i="1"/>
  <c r="K159" i="1"/>
  <c r="E160" i="1"/>
  <c r="K160" i="1"/>
  <c r="E161" i="1"/>
  <c r="K161" i="1"/>
  <c r="E162" i="1"/>
  <c r="K162" i="1"/>
  <c r="E163" i="1"/>
  <c r="K163" i="1"/>
  <c r="E164" i="1"/>
  <c r="K164" i="1"/>
  <c r="E165" i="1"/>
  <c r="K165" i="1"/>
  <c r="E166" i="1"/>
  <c r="K166" i="1"/>
  <c r="E167" i="1"/>
  <c r="K167" i="1"/>
  <c r="E168" i="1"/>
  <c r="K168" i="1"/>
  <c r="E169" i="1"/>
  <c r="K169" i="1"/>
  <c r="E170" i="1"/>
  <c r="K170" i="1"/>
  <c r="E171" i="1"/>
  <c r="K171" i="1"/>
  <c r="E172" i="1"/>
  <c r="K172" i="1"/>
  <c r="E173" i="1"/>
  <c r="K173" i="1"/>
  <c r="E174" i="1"/>
  <c r="K174" i="1"/>
  <c r="E175" i="1"/>
  <c r="K175" i="1"/>
  <c r="E176" i="1"/>
  <c r="K176" i="1"/>
  <c r="E177" i="1"/>
  <c r="K177" i="1"/>
  <c r="E178" i="1"/>
  <c r="K178" i="1"/>
  <c r="E179" i="1"/>
  <c r="K179" i="1"/>
  <c r="E180" i="1"/>
  <c r="K180" i="1"/>
  <c r="E181" i="1"/>
  <c r="K181" i="1"/>
  <c r="E182" i="1"/>
  <c r="K182" i="1"/>
  <c r="E183" i="1"/>
  <c r="K183" i="1"/>
  <c r="E184" i="1"/>
  <c r="K184" i="1"/>
  <c r="E185" i="1"/>
  <c r="K185" i="1"/>
  <c r="E186" i="1"/>
  <c r="K186" i="1"/>
  <c r="E187" i="1"/>
  <c r="K187" i="1"/>
  <c r="E188" i="1"/>
  <c r="K188" i="1"/>
  <c r="E189" i="1"/>
  <c r="K189" i="1"/>
  <c r="E190" i="1"/>
  <c r="K190" i="1"/>
  <c r="E191" i="1"/>
  <c r="K191" i="1"/>
  <c r="E192" i="1"/>
  <c r="K192" i="1"/>
  <c r="E193" i="1"/>
  <c r="K193" i="1"/>
  <c r="E194" i="1"/>
  <c r="K194" i="1"/>
  <c r="E195" i="1"/>
  <c r="K195" i="1"/>
  <c r="E196" i="1"/>
  <c r="K196" i="1"/>
  <c r="E197" i="1"/>
  <c r="K197" i="1"/>
  <c r="E198" i="1"/>
  <c r="K198" i="1"/>
  <c r="E199" i="1"/>
  <c r="K199" i="1"/>
  <c r="E200" i="1"/>
  <c r="K200" i="1"/>
  <c r="E201" i="1"/>
  <c r="K201" i="1"/>
  <c r="E202" i="1"/>
  <c r="K202" i="1"/>
  <c r="E203" i="1"/>
  <c r="K203" i="1"/>
  <c r="E204" i="1"/>
  <c r="K204" i="1"/>
  <c r="E205" i="1"/>
  <c r="K205" i="1"/>
  <c r="E206" i="1"/>
  <c r="K206" i="1"/>
  <c r="E207" i="1"/>
  <c r="K207" i="1"/>
  <c r="E208" i="1"/>
  <c r="K208" i="1"/>
  <c r="E209" i="1"/>
  <c r="K209" i="1"/>
  <c r="E210" i="1"/>
  <c r="K210" i="1"/>
  <c r="E211" i="1"/>
  <c r="K211" i="1"/>
  <c r="E212" i="1"/>
  <c r="K212" i="1"/>
  <c r="E213" i="1"/>
  <c r="K213" i="1"/>
  <c r="E214" i="1"/>
  <c r="K214" i="1"/>
  <c r="E215" i="1"/>
  <c r="K215" i="1"/>
  <c r="E216" i="1"/>
  <c r="K216" i="1"/>
  <c r="E217" i="1"/>
  <c r="K217" i="1"/>
  <c r="E218" i="1"/>
  <c r="K218" i="1"/>
  <c r="E219" i="1"/>
  <c r="K219" i="1"/>
  <c r="E220" i="1"/>
  <c r="K220" i="1"/>
  <c r="E221" i="1"/>
  <c r="K221" i="1"/>
  <c r="E222" i="1"/>
  <c r="K222" i="1"/>
  <c r="E223" i="1"/>
  <c r="K223" i="1"/>
  <c r="E224" i="1"/>
  <c r="K224" i="1"/>
  <c r="E225" i="1"/>
  <c r="K225" i="1"/>
  <c r="E226" i="1"/>
  <c r="K226" i="1"/>
  <c r="E227" i="1"/>
  <c r="K227" i="1"/>
  <c r="E228" i="1"/>
  <c r="K228" i="1"/>
  <c r="E229" i="1"/>
  <c r="K229" i="1"/>
  <c r="E230" i="1"/>
  <c r="K230" i="1"/>
  <c r="E231" i="1"/>
  <c r="K231" i="1"/>
  <c r="E232" i="1"/>
  <c r="K232" i="1"/>
  <c r="E233" i="1"/>
  <c r="K233" i="1"/>
  <c r="E234" i="1"/>
  <c r="K234" i="1"/>
  <c r="E235" i="1"/>
  <c r="K235" i="1"/>
  <c r="E236" i="1"/>
  <c r="K236" i="1"/>
  <c r="E237" i="1"/>
  <c r="K237" i="1"/>
  <c r="E238" i="1"/>
  <c r="K238" i="1"/>
  <c r="E239" i="1"/>
  <c r="K239" i="1"/>
  <c r="E240" i="1"/>
  <c r="K240" i="1"/>
  <c r="E241" i="1"/>
  <c r="K241" i="1"/>
  <c r="E242" i="1"/>
  <c r="K242" i="1"/>
  <c r="E243" i="1"/>
  <c r="K243" i="1"/>
  <c r="E244" i="1"/>
  <c r="K244" i="1"/>
  <c r="E245" i="1"/>
  <c r="K245" i="1"/>
  <c r="E246" i="1"/>
  <c r="K246" i="1"/>
  <c r="E247" i="1"/>
  <c r="K247" i="1"/>
  <c r="E248" i="1"/>
  <c r="K248" i="1"/>
  <c r="E249" i="1"/>
  <c r="K249" i="1"/>
  <c r="E250" i="1"/>
  <c r="K250" i="1"/>
  <c r="E251" i="1"/>
  <c r="K251" i="1"/>
  <c r="E252" i="1"/>
  <c r="K252" i="1"/>
  <c r="E253" i="1"/>
  <c r="K253" i="1"/>
  <c r="E254" i="1"/>
  <c r="K254" i="1"/>
  <c r="E255" i="1"/>
  <c r="K255" i="1"/>
  <c r="E256" i="1"/>
  <c r="K256" i="1"/>
  <c r="E257" i="1"/>
  <c r="K257" i="1"/>
  <c r="E258" i="1"/>
  <c r="K258" i="1"/>
  <c r="E259" i="1"/>
  <c r="K259" i="1"/>
  <c r="M57" i="1" l="1"/>
  <c r="M41" i="1"/>
  <c r="M51" i="1"/>
  <c r="M47" i="1"/>
  <c r="M40" i="1"/>
  <c r="M48" i="1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O1" i="5"/>
  <c r="G6" i="5"/>
  <c r="G7" i="5"/>
  <c r="G8" i="5"/>
  <c r="G9" i="5"/>
  <c r="G10" i="5"/>
  <c r="G11" i="5"/>
  <c r="G12" i="5"/>
  <c r="G13" i="5"/>
  <c r="G14" i="5"/>
  <c r="G5" i="5"/>
  <c r="C2" i="1"/>
  <c r="I14" i="5" l="1"/>
  <c r="Q2" i="5"/>
  <c r="P2" i="5"/>
  <c r="BK2" i="5"/>
  <c r="BG2" i="5"/>
  <c r="BC2" i="5"/>
  <c r="AY2" i="5"/>
  <c r="AU2" i="5"/>
  <c r="AQ2" i="5"/>
  <c r="AM2" i="5"/>
  <c r="AI2" i="5"/>
  <c r="AE2" i="5"/>
  <c r="AA2" i="5"/>
  <c r="W2" i="5"/>
  <c r="S2" i="5"/>
  <c r="O3" i="5"/>
  <c r="O2" i="5"/>
  <c r="BH2" i="5"/>
  <c r="AZ2" i="5"/>
  <c r="AR2" i="5"/>
  <c r="AJ2" i="5"/>
  <c r="AF2" i="5"/>
  <c r="X2" i="5"/>
  <c r="T2" i="5"/>
  <c r="BN2" i="5"/>
  <c r="BJ2" i="5"/>
  <c r="BF2" i="5"/>
  <c r="BB2" i="5"/>
  <c r="AX2" i="5"/>
  <c r="AT2" i="5"/>
  <c r="AP2" i="5"/>
  <c r="AL2" i="5"/>
  <c r="AH2" i="5"/>
  <c r="AD2" i="5"/>
  <c r="Z2" i="5"/>
  <c r="V2" i="5"/>
  <c r="R2" i="5"/>
  <c r="BL2" i="5"/>
  <c r="BD2" i="5"/>
  <c r="AV2" i="5"/>
  <c r="AN2" i="5"/>
  <c r="AB2" i="5"/>
  <c r="BM2" i="5"/>
  <c r="BI2" i="5"/>
  <c r="BE2" i="5"/>
  <c r="BA2" i="5"/>
  <c r="AW2" i="5"/>
  <c r="AS2" i="5"/>
  <c r="AO2" i="5"/>
  <c r="AK2" i="5"/>
  <c r="AG2" i="5"/>
  <c r="AC2" i="5"/>
  <c r="Y2" i="5"/>
  <c r="U2" i="5"/>
  <c r="F6" i="5"/>
  <c r="F7" i="5"/>
  <c r="F8" i="5"/>
  <c r="F9" i="5"/>
  <c r="F10" i="5"/>
  <c r="F11" i="5"/>
  <c r="F12" i="5"/>
  <c r="F13" i="5"/>
  <c r="F14" i="5"/>
  <c r="K14" i="5" s="1"/>
  <c r="F5" i="5"/>
  <c r="H14" i="5" l="1"/>
  <c r="L2" i="1" l="1"/>
  <c r="E7" i="5"/>
  <c r="E13" i="5"/>
  <c r="E12" i="5"/>
  <c r="E11" i="5"/>
  <c r="E10" i="5"/>
  <c r="E9" i="5"/>
  <c r="E8" i="5"/>
  <c r="E6" i="5"/>
  <c r="E5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AB3" i="5"/>
  <c r="AA3" i="5"/>
  <c r="Z3" i="5"/>
  <c r="R3" i="5"/>
  <c r="S3" i="5"/>
  <c r="T3" i="5"/>
  <c r="U3" i="5"/>
  <c r="V3" i="5"/>
  <c r="W3" i="5"/>
  <c r="X3" i="5"/>
  <c r="Y3" i="5"/>
  <c r="Q3" i="5"/>
  <c r="P3" i="5"/>
  <c r="C1" i="1"/>
  <c r="J2" i="1"/>
  <c r="G2" i="1"/>
  <c r="D4" i="1" l="1"/>
  <c r="I12" i="5"/>
  <c r="H7" i="5"/>
  <c r="J12" i="5"/>
  <c r="K12" i="5" s="1"/>
  <c r="J8" i="5"/>
  <c r="K8" i="5" s="1"/>
  <c r="J9" i="5"/>
  <c r="K9" i="5" s="1"/>
  <c r="I13" i="5"/>
  <c r="J7" i="5"/>
  <c r="K7" i="5" s="1"/>
  <c r="J5" i="5"/>
  <c r="K5" i="5" s="1"/>
  <c r="J10" i="5"/>
  <c r="K10" i="5" s="1"/>
  <c r="H9" i="5"/>
  <c r="J11" i="5"/>
  <c r="K11" i="5" s="1"/>
  <c r="I6" i="5"/>
  <c r="J13" i="5"/>
  <c r="K13" i="5" s="1"/>
  <c r="J6" i="5"/>
  <c r="K6" i="5" s="1"/>
  <c r="I9" i="5"/>
  <c r="H5" i="5"/>
  <c r="H6" i="5"/>
  <c r="I10" i="5"/>
  <c r="I11" i="5"/>
  <c r="I7" i="5"/>
  <c r="I5" i="5"/>
  <c r="H10" i="5"/>
  <c r="H11" i="5"/>
  <c r="H13" i="5"/>
  <c r="I8" i="5"/>
  <c r="H12" i="5"/>
  <c r="H8" i="5"/>
</calcChain>
</file>

<file path=xl/sharedStrings.xml><?xml version="1.0" encoding="utf-8"?>
<sst xmlns="http://schemas.openxmlformats.org/spreadsheetml/2006/main" count="282" uniqueCount="160">
  <si>
    <t>袁晓龙</t>
  </si>
  <si>
    <t>任务描述</t>
    <phoneticPr fontId="3" type="noConversion"/>
  </si>
  <si>
    <t>截止</t>
    <phoneticPr fontId="3" type="noConversion"/>
  </si>
  <si>
    <t>耗时</t>
    <phoneticPr fontId="3" type="noConversion"/>
  </si>
  <si>
    <t>工单</t>
    <phoneticPr fontId="3" type="noConversion"/>
  </si>
  <si>
    <t>完成备注</t>
    <phoneticPr fontId="3" type="noConversion"/>
  </si>
  <si>
    <t>优先级</t>
    <phoneticPr fontId="3" type="noConversion"/>
  </si>
  <si>
    <t>新估时</t>
    <phoneticPr fontId="3" type="noConversion"/>
  </si>
  <si>
    <t>人员</t>
    <phoneticPr fontId="3" type="noConversion"/>
  </si>
  <si>
    <t>原估时</t>
    <phoneticPr fontId="3" type="noConversion"/>
  </si>
  <si>
    <t>刘文明</t>
  </si>
  <si>
    <t>董封成</t>
  </si>
  <si>
    <t>郭平川</t>
  </si>
  <si>
    <t>何送明</t>
  </si>
  <si>
    <t>石林</t>
  </si>
  <si>
    <t>吴有莎</t>
  </si>
  <si>
    <t>岗位</t>
    <phoneticPr fontId="3" type="noConversion"/>
  </si>
  <si>
    <t>可用工时</t>
    <phoneticPr fontId="3" type="noConversion"/>
  </si>
  <si>
    <t>责任人</t>
    <phoneticPr fontId="3" type="noConversion"/>
  </si>
  <si>
    <t>最后更新动态条目</t>
    <phoneticPr fontId="3" type="noConversion"/>
  </si>
  <si>
    <t>最后更新日期</t>
    <phoneticPr fontId="3" type="noConversion"/>
  </si>
  <si>
    <t>原饱和度</t>
    <phoneticPr fontId="3" type="noConversion"/>
  </si>
  <si>
    <t>现饱和度</t>
    <phoneticPr fontId="3" type="noConversion"/>
  </si>
  <si>
    <t>总进度</t>
    <phoneticPr fontId="3" type="noConversion"/>
  </si>
  <si>
    <t>昨日工时</t>
    <phoneticPr fontId="3" type="noConversion"/>
  </si>
  <si>
    <t>后端</t>
    <phoneticPr fontId="3" type="noConversion"/>
  </si>
  <si>
    <t>董封成</t>
    <phoneticPr fontId="3" type="noConversion"/>
  </si>
  <si>
    <t>前端</t>
    <phoneticPr fontId="3" type="noConversion"/>
  </si>
  <si>
    <t>付小艳</t>
  </si>
  <si>
    <t>原画</t>
    <phoneticPr fontId="3" type="noConversion"/>
  </si>
  <si>
    <t>UI</t>
    <phoneticPr fontId="3" type="noConversion"/>
  </si>
  <si>
    <t>策划</t>
  </si>
  <si>
    <t>总任务数</t>
    <phoneticPr fontId="3" type="noConversion"/>
  </si>
  <si>
    <t>总日志数</t>
    <phoneticPr fontId="3" type="noConversion"/>
  </si>
  <si>
    <t>工作计划汇总</t>
    <phoneticPr fontId="3" type="noConversion"/>
  </si>
  <si>
    <t>——</t>
    <phoneticPr fontId="3" type="noConversion"/>
  </si>
  <si>
    <t>优先级</t>
    <phoneticPr fontId="3" type="noConversion"/>
  </si>
  <si>
    <t>3D</t>
    <phoneticPr fontId="3" type="noConversion"/>
  </si>
  <si>
    <t>前置工单</t>
    <phoneticPr fontId="3" type="noConversion"/>
  </si>
  <si>
    <t>前置进度</t>
    <phoneticPr fontId="3" type="noConversion"/>
  </si>
  <si>
    <t>进度</t>
    <phoneticPr fontId="3" type="noConversion"/>
  </si>
  <si>
    <t>总进度</t>
    <phoneticPr fontId="3" type="noConversion"/>
  </si>
  <si>
    <t>增减人员后，计划内容的责任人需要在数据-数据验证内修改</t>
    <phoneticPr fontId="3" type="noConversion"/>
  </si>
  <si>
    <t>是否需要测试</t>
    <phoneticPr fontId="3" type="noConversion"/>
  </si>
  <si>
    <t>林洋</t>
    <phoneticPr fontId="3" type="noConversion"/>
  </si>
  <si>
    <t>后端</t>
    <phoneticPr fontId="3" type="noConversion"/>
  </si>
  <si>
    <t>完成状态</t>
    <phoneticPr fontId="3" type="noConversion"/>
  </si>
  <si>
    <t>验收备注</t>
    <phoneticPr fontId="3" type="noConversion"/>
  </si>
  <si>
    <t>是否新增</t>
    <phoneticPr fontId="3" type="noConversion"/>
  </si>
  <si>
    <t>最后更新</t>
    <phoneticPr fontId="3" type="noConversion"/>
  </si>
  <si>
    <t>已完成</t>
  </si>
  <si>
    <t>剩余工时</t>
    <phoneticPr fontId="3" type="noConversion"/>
  </si>
  <si>
    <t>时间</t>
  </si>
  <si>
    <t>登记工时</t>
  </si>
  <si>
    <t>登记备注</t>
  </si>
  <si>
    <t>原估时</t>
  </si>
  <si>
    <t>新估时</t>
  </si>
  <si>
    <t>状态改变为</t>
  </si>
  <si>
    <t>操作的工单</t>
  </si>
  <si>
    <t>任务描述</t>
  </si>
  <si>
    <t>排位赛匹配优化（底部红色新增部分）</t>
    <phoneticPr fontId="3" type="noConversion"/>
  </si>
  <si>
    <t>奖金抽奖加入话费-需求及数值</t>
    <phoneticPr fontId="3" type="noConversion"/>
  </si>
  <si>
    <t>奖金抽奖加入话费-前端</t>
    <phoneticPr fontId="3" type="noConversion"/>
  </si>
  <si>
    <t>奖金抽奖加入话费-后端</t>
    <phoneticPr fontId="3" type="noConversion"/>
  </si>
  <si>
    <t>多人模式卡片上增加“抽话费”标记</t>
    <phoneticPr fontId="3" type="noConversion"/>
  </si>
  <si>
    <t>主界面：排位赛、保卫女神气泡上增加话费元素，原文字基础上增加“每周最高可领6000话费”等字样-UI</t>
    <phoneticPr fontId="3" type="noConversion"/>
  </si>
  <si>
    <t>主界面：排位赛、保卫女神气泡上增加话费元素，原文字基础上增加“每周最高可领6000话费”等字样-动态</t>
    <phoneticPr fontId="3" type="noConversion"/>
  </si>
  <si>
    <t>保卫女神：查看奖励的礼盒按钮，改成普通按钮：上面显示一个话费icon及文字“话费奖励”-UI</t>
    <phoneticPr fontId="3" type="noConversion"/>
  </si>
  <si>
    <t>保卫女神：查看奖励的礼盒按钮，改成普通按钮：上面显示一个话费icon及文字“话费奖励”-动态</t>
    <phoneticPr fontId="3" type="noConversion"/>
  </si>
  <si>
    <t>排位赛：查看赛季奖励改为一个按钮“赛季奖励”（点击后打开排行榜奖励界面每月分页）、查看每日奖励改为一个按钮“话费奖励”-UI</t>
    <phoneticPr fontId="3" type="noConversion"/>
  </si>
  <si>
    <t>排位赛：查看赛季奖励改为一个按钮“赛季奖励”（点击后打开排行榜奖励界面每月分页）、查看每日奖励改为一个按钮“话费奖励”</t>
    <phoneticPr fontId="3" type="noConversion"/>
  </si>
  <si>
    <t>破产后，点击屏幕开炮如果无破产基金可领，自动打开购买金币界面</t>
    <phoneticPr fontId="3" type="noConversion"/>
  </si>
  <si>
    <t>皮肤特殊功能转移到服务端</t>
    <phoneticPr fontId="3" type="noConversion"/>
  </si>
  <si>
    <t>打赏除了核弹要求VIP，其他几项VIP限制条件取消-前端</t>
    <phoneticPr fontId="3" type="noConversion"/>
  </si>
  <si>
    <t>打赏除了核弹要求VIP，其他几项VIP限制条件取消-后端</t>
    <phoneticPr fontId="3" type="noConversion"/>
  </si>
  <si>
    <t>多人模式，场景选择UI效果完善-UI</t>
    <phoneticPr fontId="3" type="noConversion"/>
  </si>
  <si>
    <t>多人模式，场景选择UI效果完善-动态</t>
    <phoneticPr fontId="3" type="noConversion"/>
  </si>
  <si>
    <t>魅力值变化提示补全（没有提示界面的用系统提示，详见原需求）</t>
    <phoneticPr fontId="3" type="noConversion"/>
  </si>
  <si>
    <t>排位赛开始可以释放激光的BUG</t>
    <phoneticPr fontId="3" type="noConversion"/>
  </si>
  <si>
    <t>排位赛增加皮肤展示-前端</t>
    <phoneticPr fontId="3" type="noConversion"/>
  </si>
  <si>
    <t>排位赛增加皮肤展示-后端</t>
    <phoneticPr fontId="3" type="noConversion"/>
  </si>
  <si>
    <t>比赛结束增加一个文字标记：开炮结束，等待结算中…-美术动态字</t>
    <phoneticPr fontId="3" type="noConversion"/>
  </si>
  <si>
    <t>比赛结束增加一个文字标记：开炮结束，等待结算中…-美术动态字
一直显示到结算时</t>
    <phoneticPr fontId="3" type="noConversion"/>
  </si>
  <si>
    <t>付费数值整体调整</t>
    <phoneticPr fontId="3" type="noConversion"/>
  </si>
  <si>
    <t>捕获鱼金币、钻石飘完，在金币显示UI处飘出增加数值时才更新</t>
    <phoneticPr fontId="3" type="noConversion"/>
  </si>
  <si>
    <t>自动开炮-前端</t>
    <phoneticPr fontId="3" type="noConversion"/>
  </si>
  <si>
    <t>多人模式：其他玩家在排位赛中，则显示标记“排位赛进行中”-UI</t>
    <phoneticPr fontId="3" type="noConversion"/>
  </si>
  <si>
    <t>多人模式：其他玩家在排位赛中，则显示标记“排位赛进行中”-前端</t>
    <phoneticPr fontId="3" type="noConversion"/>
  </si>
  <si>
    <t>多人模式：其他玩家在排位赛中，则显示标记“排位赛进行中”-后端</t>
    <phoneticPr fontId="3" type="noConversion"/>
  </si>
  <si>
    <t>多人模式：他人加入房间、离开房间、破产时，增加系统提示</t>
    <phoneticPr fontId="3" type="noConversion"/>
  </si>
  <si>
    <t>鱼爆炸、闪电技能增加音效（目前无效）</t>
    <phoneticPr fontId="3" type="noConversion"/>
  </si>
  <si>
    <t>多人模式：点击玩家头像打开私聊界面</t>
    <phoneticPr fontId="3" type="noConversion"/>
  </si>
  <si>
    <t>4399广告-需求</t>
    <phoneticPr fontId="3" type="noConversion"/>
  </si>
  <si>
    <t>4399广告-UI</t>
    <phoneticPr fontId="3" type="noConversion"/>
  </si>
  <si>
    <t>4399广告-前端</t>
    <phoneticPr fontId="3" type="noConversion"/>
  </si>
  <si>
    <t>4399广告-后端</t>
    <phoneticPr fontId="3" type="noConversion"/>
  </si>
  <si>
    <t>活动模式-需求</t>
    <phoneticPr fontId="3" type="noConversion"/>
  </si>
  <si>
    <t>活动模式-UI</t>
    <phoneticPr fontId="3" type="noConversion"/>
  </si>
  <si>
    <t>活动模式-前端</t>
    <phoneticPr fontId="3" type="noConversion"/>
  </si>
  <si>
    <t>活动模式-后端</t>
    <phoneticPr fontId="3" type="noConversion"/>
  </si>
  <si>
    <t>多人模式创建私人房间及邀请-需求</t>
    <phoneticPr fontId="3" type="noConversion"/>
  </si>
  <si>
    <t>多人模式创建私人房间及邀请-UI</t>
    <phoneticPr fontId="3" type="noConversion"/>
  </si>
  <si>
    <t>双人、四人比赛-需求</t>
    <phoneticPr fontId="3" type="noConversion"/>
  </si>
  <si>
    <t>双人、四人比赛-UI</t>
    <phoneticPr fontId="3" type="noConversion"/>
  </si>
  <si>
    <t>新水族馆-需求</t>
    <phoneticPr fontId="3" type="noConversion"/>
  </si>
  <si>
    <t>新水族馆-UI</t>
    <phoneticPr fontId="3" type="noConversion"/>
  </si>
  <si>
    <t>新水族馆-前端</t>
    <phoneticPr fontId="3" type="noConversion"/>
  </si>
  <si>
    <t>新水族馆-后端</t>
    <phoneticPr fontId="3" type="noConversion"/>
  </si>
  <si>
    <t>活动模式-动态</t>
    <phoneticPr fontId="3" type="noConversion"/>
  </si>
  <si>
    <t>多人模式创建私人房间及邀请-前端</t>
    <phoneticPr fontId="3" type="noConversion"/>
  </si>
  <si>
    <t>多人模式创建私人房间及邀请-后端</t>
    <phoneticPr fontId="3" type="noConversion"/>
  </si>
  <si>
    <t>世界发言加魅力上限3000点，收鲜花加魅力上限3000点，好友加魅力上限3000点，打赏别人鲜花加魅力上限3000点</t>
    <phoneticPr fontId="3" type="noConversion"/>
  </si>
  <si>
    <t>每打赏鲜花增加魅力1点，上线3000点
和收到鲜花一样</t>
    <phoneticPr fontId="3" type="noConversion"/>
  </si>
  <si>
    <t>各个地方的宝箱名字区分开</t>
    <phoneticPr fontId="3" type="noConversion"/>
  </si>
  <si>
    <t>新增加一批限时特惠礼包</t>
    <phoneticPr fontId="3" type="noConversion"/>
  </si>
  <si>
    <t>话费券和钻石日志，并在统计后台展示（同金币）</t>
    <phoneticPr fontId="3" type="noConversion"/>
  </si>
  <si>
    <t>排位赛核弹要求金币改到rankgame表配置根据当前段位读取nbgold字段</t>
    <phoneticPr fontId="3" type="noConversion"/>
  </si>
  <si>
    <t>分享功能：成为首富，改为十大名人（排名前10）；成为最强王者，改为十大高手（段位26 27）</t>
    <phoneticPr fontId="3" type="noConversion"/>
  </si>
  <si>
    <t>多人模式：锁定增加一套特效，区别他人释放（不显示开始的提示，只显示开炮中的效果）-特效</t>
    <phoneticPr fontId="3" type="noConversion"/>
  </si>
  <si>
    <t>多人模式：锁定增加一套特效，区别他人释放（不显示开始的提示，只显示开炮中的效果）-前端</t>
    <phoneticPr fontId="3" type="noConversion"/>
  </si>
  <si>
    <t>礼包兑换改为VIP礼包-UI</t>
    <phoneticPr fontId="3" type="noConversion"/>
  </si>
  <si>
    <t>vip礼包界面增加小红点，点击查看并且无每日福利可领时取消小红点</t>
    <phoneticPr fontId="3" type="noConversion"/>
  </si>
  <si>
    <t>多人模式：加入场景显示魅力称号-UI</t>
    <phoneticPr fontId="3" type="noConversion"/>
  </si>
  <si>
    <t>多人模式：加入场景显示魅力称号-动态</t>
    <phoneticPr fontId="3" type="noConversion"/>
  </si>
  <si>
    <t>多人模式：加入场景显示魅力称号，直到开炮才隐藏，过程中超过1分钟不开炮，又显示魅力称号-前端</t>
    <phoneticPr fontId="3" type="noConversion"/>
  </si>
  <si>
    <t>月卡未购买时，在按钮下方显示：可领取30次</t>
    <phoneticPr fontId="3" type="noConversion"/>
  </si>
  <si>
    <t>奖金抽奖结束后，奖励显示在屏幕中，停顿后飘到对应位置，对应位置的数值才接着更新</t>
    <phoneticPr fontId="3" type="noConversion"/>
  </si>
  <si>
    <t>多人模式：他人抽奖时，显示抽奖中标记-UI</t>
    <phoneticPr fontId="3" type="noConversion"/>
  </si>
  <si>
    <t>多人模式：他人抽奖时，显示抽奖中标记，且抽奖结束在屏幕中显示奖励（同自己抽奖）</t>
    <phoneticPr fontId="3" type="noConversion"/>
  </si>
  <si>
    <t>房间聊天，同世界聊天，对象为多人模式房间内玩家，消息不推送，在炮台上方显示气泡-UI</t>
    <phoneticPr fontId="3" type="noConversion"/>
  </si>
  <si>
    <t>房间聊天，同世界聊天，对象为多人模式房间内玩家，消息不推送，在炮台上方显示气泡-前端</t>
    <phoneticPr fontId="3" type="noConversion"/>
  </si>
  <si>
    <t>房间聊天，同世界聊天，对象为多人模式房间内玩家，消息不推送，在炮台上方显示气泡-后端</t>
    <phoneticPr fontId="3" type="noConversion"/>
  </si>
  <si>
    <t>游戏好友数量显示，显示到标题旁边（同话费券显示位置）</t>
    <phoneticPr fontId="3" type="noConversion"/>
  </si>
  <si>
    <t>点击进入多人模式过程优化，目前干等一会直接进入捕鱼场</t>
    <phoneticPr fontId="3" type="noConversion"/>
  </si>
  <si>
    <t>打开武器界面，如无法升级就打开皮肤界面，皮肤增加一层排序（已拥有的魅力降序）并增加已拥有的标记，在演示界面也显示皮肤名称</t>
    <phoneticPr fontId="3" type="noConversion"/>
  </si>
  <si>
    <t>多人模式：其他玩家在小游戏，则显示标记“疯狂接金币中”-UI</t>
    <phoneticPr fontId="3" type="noConversion"/>
  </si>
  <si>
    <t>多人模式：其他玩家在小游戏，则显示标记“疯狂接金币中”，结束后奖励显示在屏幕中，然后飘到对应位置-前端</t>
    <phoneticPr fontId="3" type="noConversion"/>
  </si>
  <si>
    <t>多人模式：其他玩家在小游戏，则显示标记“疯狂接金币中”，结束后奖励显示在屏幕中，然后飘到对应位置-后端</t>
    <phoneticPr fontId="3" type="noConversion"/>
  </si>
  <si>
    <t>皮肤投票排名功能完善-前端</t>
    <phoneticPr fontId="3" type="noConversion"/>
  </si>
  <si>
    <t>皮肤投票排名功能完善-后端</t>
    <phoneticPr fontId="3" type="noConversion"/>
  </si>
  <si>
    <t>皮肤功能扩展完善-后端</t>
    <phoneticPr fontId="3" type="noConversion"/>
  </si>
  <si>
    <t>皮肤功能扩展完善-前端</t>
    <phoneticPr fontId="3" type="noConversion"/>
  </si>
  <si>
    <t>皮肤功能扩展完善-数值</t>
    <phoneticPr fontId="3" type="noConversion"/>
  </si>
  <si>
    <t>多人同房间捕鱼同步到玩吧，且完善保卫女神和排位赛的逻辑-前端</t>
    <phoneticPr fontId="3" type="noConversion"/>
  </si>
  <si>
    <t>多人同房间捕鱼同步到玩吧，且完善保卫女神和排位赛的逻辑-后端</t>
    <phoneticPr fontId="3" type="noConversion"/>
  </si>
  <si>
    <t>林洋</t>
  </si>
  <si>
    <t>新水族馆-原画</t>
    <phoneticPr fontId="3" type="noConversion"/>
  </si>
  <si>
    <t>公告优化-后端</t>
  </si>
  <si>
    <t>已关闭</t>
  </si>
  <si>
    <t>新增</t>
  </si>
  <si>
    <t>排行榜头像异常，或者头像更新过慢</t>
  </si>
  <si>
    <t>渔王争霸排行榜我的积分为0，实际不为0</t>
  </si>
  <si>
    <t>跨服打赏不到账问题</t>
  </si>
  <si>
    <t>女神属性完善（服务器逻辑缺失），至少把影响水族馆的属性完善</t>
  </si>
  <si>
    <t>性别显示不正确</t>
  </si>
  <si>
    <t>皮肤功能扩展-后端</t>
  </si>
  <si>
    <t>打赏除了核弹，其他几项VIP限制条件取消</t>
  </si>
  <si>
    <t>data_server重构：api*2/3</t>
  </si>
  <si>
    <t>【越南版】购买金币：改为购买钻石-后端</t>
  </si>
  <si>
    <t>人员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</si>
</sst>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/d\ hh:mm:ss"/>
    <numFmt numFmtId="177" formatCode="m/d;@"/>
    <numFmt numFmtId="178" formatCode="0_);[Red]\(0\)"/>
    <numFmt numFmtId="179" formatCode="yy/m/d\ hh:mm"/>
  </numFmts>
  <fonts count="22" x14ac:knownFonts="1">
    <font>
      <sz val="11"/>
      <color theme="1"/>
      <name val="宋体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sz val="10"/>
      <color theme="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sz val="12"/>
      <color theme="1"/>
      <name val="华文琥珀"/>
      <family val="3"/>
      <charset val="134"/>
    </font>
    <font>
      <b/>
      <sz val="12"/>
      <color theme="0"/>
      <name val="华文琥珀"/>
      <family val="3"/>
      <charset val="134"/>
    </font>
    <font>
      <b/>
      <sz val="10"/>
      <color theme="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u/>
      <sz val="9"/>
      <color rgb="FF1F02CA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u/>
      <sz val="10"/>
      <color theme="1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9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rgb="FFFFFF00"/>
      </left>
      <right/>
      <top style="mediumDashed">
        <color rgb="FFFFFF00"/>
      </top>
      <bottom style="mediumDashed">
        <color rgb="FFFFFF00"/>
      </bottom>
      <diagonal/>
    </border>
    <border>
      <left/>
      <right/>
      <top style="mediumDashed">
        <color rgb="FFFFFF00"/>
      </top>
      <bottom style="mediumDashed">
        <color rgb="FFFFFF00"/>
      </bottom>
      <diagonal/>
    </border>
    <border>
      <left/>
      <right style="mediumDashed">
        <color rgb="FFFFFF00"/>
      </right>
      <top style="mediumDashed">
        <color rgb="FFFFFF00"/>
      </top>
      <bottom style="mediumDashed">
        <color rgb="FFFFFF00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1"/>
    <xf numFmtId="22" fontId="2" fillId="0" borderId="0" xfId="1" applyNumberFormat="1"/>
    <xf numFmtId="0" fontId="2" fillId="0" borderId="0" xfId="1" applyAlignment="1">
      <alignment horizontal="left"/>
    </xf>
    <xf numFmtId="177" fontId="1" fillId="0" borderId="0" xfId="1" applyNumberFormat="1" applyFont="1" applyAlignment="1">
      <alignment horizontal="right"/>
    </xf>
    <xf numFmtId="0" fontId="5" fillId="5" borderId="13" xfId="0" applyFont="1" applyFill="1" applyBorder="1" applyAlignment="1"/>
    <xf numFmtId="176" fontId="5" fillId="5" borderId="12" xfId="0" applyNumberFormat="1" applyFont="1" applyFill="1" applyBorder="1" applyAlignment="1"/>
    <xf numFmtId="0" fontId="5" fillId="5" borderId="12" xfId="0" applyFont="1" applyFill="1" applyBorder="1" applyAlignment="1"/>
    <xf numFmtId="0" fontId="5" fillId="5" borderId="14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0" borderId="0" xfId="0" applyFont="1" applyFill="1" applyBorder="1" applyAlignment="1">
      <alignment horizontal="left"/>
    </xf>
    <xf numFmtId="176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177" fontId="1" fillId="6" borderId="15" xfId="1" applyNumberFormat="1" applyFont="1" applyFill="1" applyBorder="1" applyAlignment="1">
      <alignment horizontal="right"/>
    </xf>
    <xf numFmtId="0" fontId="1" fillId="0" borderId="0" xfId="1" applyFont="1"/>
    <xf numFmtId="176" fontId="1" fillId="0" borderId="0" xfId="1" applyNumberFormat="1" applyFont="1"/>
    <xf numFmtId="0" fontId="1" fillId="0" borderId="0" xfId="1" applyFont="1" applyAlignment="1">
      <alignment horizontal="center"/>
    </xf>
    <xf numFmtId="9" fontId="1" fillId="0" borderId="0" xfId="1" applyNumberFormat="1" applyFont="1" applyAlignment="1">
      <alignment horizontal="center"/>
    </xf>
    <xf numFmtId="176" fontId="1" fillId="0" borderId="0" xfId="1" applyNumberFormat="1" applyFont="1" applyAlignment="1">
      <alignment horizontal="center"/>
    </xf>
    <xf numFmtId="0" fontId="2" fillId="0" borderId="0" xfId="1" applyFill="1" applyAlignment="1">
      <alignment horizontal="left"/>
    </xf>
    <xf numFmtId="0" fontId="1" fillId="0" borderId="0" xfId="1" applyNumberFormat="1" applyFont="1" applyAlignment="1">
      <alignment horizontal="center"/>
    </xf>
    <xf numFmtId="0" fontId="2" fillId="2" borderId="5" xfId="1" applyFont="1" applyFill="1" applyBorder="1" applyAlignment="1">
      <alignment vertical="center" wrapText="1"/>
    </xf>
    <xf numFmtId="0" fontId="2" fillId="2" borderId="4" xfId="1" applyFont="1" applyFill="1" applyBorder="1" applyAlignment="1">
      <alignment vertical="center" wrapText="1"/>
    </xf>
    <xf numFmtId="0" fontId="2" fillId="2" borderId="9" xfId="1" applyFont="1" applyFill="1" applyBorder="1" applyAlignment="1">
      <alignment vertical="center" wrapText="1"/>
    </xf>
    <xf numFmtId="0" fontId="1" fillId="0" borderId="0" xfId="1" applyNumberFormat="1" applyFont="1" applyFill="1" applyAlignment="1">
      <alignment horizontal="left"/>
    </xf>
    <xf numFmtId="178" fontId="0" fillId="6" borderId="15" xfId="0" applyNumberFormat="1" applyFill="1" applyBorder="1"/>
    <xf numFmtId="22" fontId="1" fillId="0" borderId="0" xfId="1" applyNumberFormat="1" applyFont="1" applyFill="1" applyAlignment="1">
      <alignment horizontal="left"/>
    </xf>
    <xf numFmtId="0" fontId="6" fillId="0" borderId="0" xfId="1" applyFont="1"/>
    <xf numFmtId="22" fontId="6" fillId="0" borderId="0" xfId="1" applyNumberFormat="1" applyFont="1"/>
    <xf numFmtId="0" fontId="6" fillId="0" borderId="0" xfId="1" applyNumberFormat="1" applyFont="1"/>
    <xf numFmtId="14" fontId="2" fillId="0" borderId="0" xfId="1" applyNumberFormat="1" applyProtection="1">
      <protection locked="0"/>
    </xf>
    <xf numFmtId="0" fontId="1" fillId="0" borderId="0" xfId="1" applyFont="1" applyFill="1" applyAlignment="1">
      <alignment horizontal="center"/>
    </xf>
    <xf numFmtId="22" fontId="4" fillId="0" borderId="0" xfId="0" applyNumberFormat="1" applyFont="1" applyFill="1" applyBorder="1"/>
    <xf numFmtId="0" fontId="8" fillId="4" borderId="0" xfId="0" applyFont="1" applyFill="1" applyProtection="1"/>
    <xf numFmtId="22" fontId="8" fillId="4" borderId="0" xfId="0" applyNumberFormat="1" applyFont="1" applyFill="1" applyProtection="1"/>
    <xf numFmtId="0" fontId="8" fillId="4" borderId="0" xfId="0" applyFont="1" applyFill="1" applyAlignment="1" applyProtection="1">
      <alignment horizontal="center"/>
    </xf>
    <xf numFmtId="0" fontId="8" fillId="4" borderId="0" xfId="0" applyFont="1" applyFill="1" applyProtection="1">
      <protection locked="0"/>
    </xf>
    <xf numFmtId="0" fontId="9" fillId="2" borderId="1" xfId="0" applyFont="1" applyFill="1" applyBorder="1" applyAlignment="1" applyProtection="1">
      <alignment vertical="top" wrapText="1"/>
    </xf>
    <xf numFmtId="0" fontId="9" fillId="2" borderId="2" xfId="0" applyNumberFormat="1" applyFont="1" applyFill="1" applyBorder="1" applyAlignment="1" applyProtection="1">
      <alignment horizontal="left" vertical="top" wrapText="1"/>
    </xf>
    <xf numFmtId="0" fontId="9" fillId="2" borderId="5" xfId="0" applyFont="1" applyFill="1" applyBorder="1" applyAlignment="1" applyProtection="1">
      <alignment horizontal="center" vertical="center"/>
    </xf>
    <xf numFmtId="0" fontId="9" fillId="2" borderId="7" xfId="0" applyFont="1" applyFill="1" applyBorder="1" applyAlignment="1" applyProtection="1">
      <alignment horizontal="left" vertical="center"/>
    </xf>
    <xf numFmtId="14" fontId="9" fillId="2" borderId="5" xfId="0" applyNumberFormat="1" applyFont="1" applyFill="1" applyBorder="1" applyAlignment="1" applyProtection="1">
      <alignment vertical="center"/>
    </xf>
    <xf numFmtId="0" fontId="10" fillId="2" borderId="6" xfId="0" applyFont="1" applyFill="1" applyBorder="1" applyAlignment="1" applyProtection="1">
      <alignment horizontal="center" vertical="center"/>
    </xf>
    <xf numFmtId="14" fontId="9" fillId="2" borderId="2" xfId="0" applyNumberFormat="1" applyFont="1" applyFill="1" applyBorder="1" applyAlignment="1" applyProtection="1">
      <alignment horizontal="left" vertical="center"/>
    </xf>
    <xf numFmtId="0" fontId="9" fillId="2" borderId="2" xfId="0" applyFont="1" applyFill="1" applyBorder="1" applyAlignment="1" applyProtection="1">
      <alignment vertical="center"/>
    </xf>
    <xf numFmtId="0" fontId="11" fillId="4" borderId="2" xfId="0" applyFont="1" applyFill="1" applyBorder="1" applyAlignment="1" applyProtection="1">
      <alignment horizontal="center" vertical="center"/>
    </xf>
    <xf numFmtId="0" fontId="8" fillId="0" borderId="0" xfId="0" applyFont="1" applyProtection="1"/>
    <xf numFmtId="0" fontId="9" fillId="4" borderId="5" xfId="0" applyFont="1" applyFill="1" applyBorder="1" applyAlignment="1" applyProtection="1">
      <alignment vertical="center" wrapText="1"/>
    </xf>
    <xf numFmtId="0" fontId="9" fillId="4" borderId="7" xfId="0" applyFont="1" applyFill="1" applyBorder="1" applyAlignment="1" applyProtection="1">
      <alignment vertical="center" wrapText="1"/>
    </xf>
    <xf numFmtId="9" fontId="9" fillId="4" borderId="5" xfId="0" applyNumberFormat="1" applyFont="1" applyFill="1" applyBorder="1" applyAlignment="1" applyProtection="1">
      <alignment vertical="center"/>
    </xf>
    <xf numFmtId="9" fontId="9" fillId="4" borderId="6" xfId="0" applyNumberFormat="1" applyFont="1" applyFill="1" applyBorder="1" applyAlignment="1" applyProtection="1">
      <alignment vertical="center"/>
    </xf>
    <xf numFmtId="9" fontId="9" fillId="4" borderId="7" xfId="0" applyNumberFormat="1" applyFont="1" applyFill="1" applyBorder="1" applyAlignment="1" applyProtection="1">
      <alignment vertical="center"/>
    </xf>
    <xf numFmtId="9" fontId="13" fillId="4" borderId="0" xfId="0" applyNumberFormat="1" applyFont="1" applyFill="1" applyBorder="1" applyAlignment="1" applyProtection="1">
      <alignment vertical="center"/>
    </xf>
    <xf numFmtId="0" fontId="8" fillId="4" borderId="0" xfId="0" applyFont="1" applyFill="1" applyAlignment="1" applyProtection="1">
      <alignment wrapText="1"/>
    </xf>
    <xf numFmtId="0" fontId="14" fillId="4" borderId="0" xfId="0" applyFont="1" applyFill="1" applyBorder="1" applyAlignment="1" applyProtection="1">
      <alignment horizontal="left" vertical="center" wrapText="1"/>
    </xf>
    <xf numFmtId="0" fontId="14" fillId="4" borderId="0" xfId="0" applyFont="1" applyFill="1" applyBorder="1" applyAlignment="1" applyProtection="1">
      <alignment horizontal="center" vertical="center" wrapText="1"/>
    </xf>
    <xf numFmtId="0" fontId="14" fillId="4" borderId="0" xfId="0" applyFont="1" applyFill="1" applyBorder="1" applyAlignment="1" applyProtection="1">
      <alignment vertical="center" wrapText="1"/>
    </xf>
    <xf numFmtId="0" fontId="14" fillId="4" borderId="0" xfId="0" applyFont="1" applyFill="1" applyAlignment="1" applyProtection="1">
      <alignment vertical="center" wrapText="1"/>
    </xf>
    <xf numFmtId="0" fontId="8" fillId="0" borderId="0" xfId="0" applyFont="1" applyAlignment="1" applyProtection="1">
      <alignment wrapText="1"/>
    </xf>
    <xf numFmtId="0" fontId="16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9" fontId="15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NumberFormat="1" applyFont="1" applyFill="1" applyBorder="1" applyAlignment="1" applyProtection="1">
      <alignment horizontal="center" vertical="center" wrapText="1"/>
    </xf>
    <xf numFmtId="49" fontId="15" fillId="0" borderId="0" xfId="0" applyNumberFormat="1" applyFont="1" applyFill="1" applyBorder="1" applyAlignment="1" applyProtection="1">
      <alignment vertical="top" wrapText="1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0" fontId="15" fillId="0" borderId="0" xfId="0" applyNumberFormat="1" applyFont="1" applyFill="1" applyBorder="1" applyAlignment="1" applyProtection="1">
      <alignment horizontal="left" vertical="top" wrapText="1"/>
    </xf>
    <xf numFmtId="179" fontId="19" fillId="0" borderId="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Alignment="1" applyProtection="1">
      <alignment vertical="center"/>
      <protection locked="0"/>
    </xf>
    <xf numFmtId="0" fontId="15" fillId="0" borderId="0" xfId="0" applyNumberFormat="1" applyFont="1" applyFill="1" applyAlignment="1" applyProtection="1">
      <alignment horizontal="center" vertical="center"/>
      <protection locked="0"/>
    </xf>
    <xf numFmtId="0" fontId="17" fillId="0" borderId="0" xfId="0" applyNumberFormat="1" applyFont="1" applyFill="1" applyAlignment="1" applyProtection="1">
      <alignment horizontal="center" vertical="center"/>
      <protection locked="0"/>
    </xf>
    <xf numFmtId="49" fontId="15" fillId="0" borderId="0" xfId="0" applyNumberFormat="1" applyFont="1" applyFill="1" applyAlignment="1" applyProtection="1">
      <alignment vertical="top" wrapText="1"/>
    </xf>
    <xf numFmtId="49" fontId="18" fillId="0" borderId="0" xfId="0" applyNumberFormat="1" applyFont="1" applyFill="1" applyAlignment="1" applyProtection="1">
      <alignment horizontal="left" vertical="center" wrapText="1"/>
      <protection locked="0"/>
    </xf>
    <xf numFmtId="0" fontId="15" fillId="0" borderId="0" xfId="0" applyNumberFormat="1" applyFont="1" applyFill="1" applyAlignment="1" applyProtection="1">
      <alignment horizontal="left" vertical="top" wrapText="1"/>
    </xf>
    <xf numFmtId="0" fontId="18" fillId="0" borderId="0" xfId="0" applyFont="1" applyAlignment="1" applyProtection="1">
      <alignment horizontal="left" vertical="center"/>
      <protection locked="0"/>
    </xf>
    <xf numFmtId="0" fontId="16" fillId="0" borderId="0" xfId="0" applyNumberFormat="1" applyFont="1" applyFill="1" applyAlignment="1" applyProtection="1">
      <alignment horizontal="left" vertical="center"/>
    </xf>
    <xf numFmtId="9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center" vertical="center" wrapText="1"/>
    </xf>
    <xf numFmtId="179" fontId="19" fillId="0" borderId="0" xfId="0" applyNumberFormat="1" applyFont="1" applyFill="1" applyAlignment="1" applyProtection="1">
      <alignment horizontal="center" vertical="center"/>
      <protection locked="0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horizontal="center"/>
    </xf>
    <xf numFmtId="0" fontId="8" fillId="0" borderId="0" xfId="0" applyFont="1" applyProtection="1">
      <protection locked="0"/>
    </xf>
    <xf numFmtId="0" fontId="4" fillId="0" borderId="0" xfId="0" applyFont="1" applyFill="1" applyBorder="1" applyAlignment="1">
      <alignment horizontal="center" wrapText="1"/>
    </xf>
    <xf numFmtId="0" fontId="4" fillId="0" borderId="0" xfId="0" applyFont="1" applyFill="1" applyAlignment="1" applyProtection="1">
      <alignment horizontal="left" vertical="center" wrapText="1"/>
      <protection locked="0"/>
    </xf>
    <xf numFmtId="0" fontId="4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left" vertical="center" wrapText="1"/>
      <protection locked="0"/>
    </xf>
    <xf numFmtId="0" fontId="3" fillId="3" borderId="0" xfId="0" applyFont="1" applyFill="1" applyBorder="1" applyAlignment="1" applyProtection="1">
      <alignment horizontal="left" vertical="center" wrapText="1"/>
      <protection locked="0"/>
    </xf>
    <xf numFmtId="0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0" xfId="0" applyNumberFormat="1" applyFont="1" applyFill="1" applyBorder="1" applyAlignment="1" applyProtection="1">
      <alignment horizontal="left" vertical="center"/>
    </xf>
    <xf numFmtId="177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Fill="1" applyBorder="1" applyAlignment="1" applyProtection="1">
      <alignment horizontal="center" vertical="center"/>
    </xf>
    <xf numFmtId="9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 wrapText="1"/>
    </xf>
    <xf numFmtId="49" fontId="4" fillId="0" borderId="0" xfId="0" applyNumberFormat="1" applyFont="1" applyFill="1" applyBorder="1" applyAlignment="1" applyProtection="1">
      <alignment vertical="top" wrapText="1"/>
    </xf>
    <xf numFmtId="0" fontId="4" fillId="0" borderId="0" xfId="0" applyNumberFormat="1" applyFont="1" applyFill="1" applyBorder="1" applyAlignment="1" applyProtection="1">
      <alignment horizontal="left" vertical="top" wrapText="1"/>
    </xf>
    <xf numFmtId="0" fontId="4" fillId="0" borderId="0" xfId="0" applyFont="1" applyFill="1" applyBorder="1" applyAlignment="1">
      <alignment horizontal="left" wrapText="1"/>
    </xf>
    <xf numFmtId="0" fontId="4" fillId="3" borderId="0" xfId="0" applyFont="1" applyFill="1" applyBorder="1" applyAlignment="1" applyProtection="1">
      <alignment horizontal="left" vertical="center" wrapText="1"/>
      <protection locked="0"/>
    </xf>
    <xf numFmtId="0" fontId="3" fillId="3" borderId="0" xfId="2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177" fontId="4" fillId="0" borderId="0" xfId="0" applyNumberFormat="1" applyFont="1" applyFill="1" applyAlignment="1" applyProtection="1">
      <alignment horizontal="center" vertical="center"/>
      <protection locked="0"/>
    </xf>
    <xf numFmtId="0" fontId="4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21" fillId="0" borderId="0" xfId="2" applyFont="1" applyAlignment="1" applyProtection="1">
      <alignment horizontal="left" vertical="center"/>
      <protection locked="0"/>
    </xf>
    <xf numFmtId="0" fontId="21" fillId="3" borderId="0" xfId="2" applyFont="1" applyFill="1" applyBorder="1" applyAlignment="1" applyProtection="1">
      <alignment horizontal="left" vertical="center" wrapText="1"/>
      <protection locked="0"/>
    </xf>
    <xf numFmtId="0" fontId="21" fillId="3" borderId="0" xfId="2" applyFont="1" applyFill="1" applyBorder="1" applyAlignment="1" applyProtection="1">
      <alignment horizontal="left" vertical="center"/>
      <protection locked="0"/>
    </xf>
    <xf numFmtId="0" fontId="21" fillId="0" borderId="0" xfId="2" applyFont="1" applyFill="1" applyAlignment="1" applyProtection="1">
      <alignment horizontal="left" vertical="center"/>
      <protection locked="0"/>
    </xf>
    <xf numFmtId="0" fontId="2" fillId="2" borderId="6" xfId="1" applyFont="1" applyFill="1" applyBorder="1" applyAlignment="1">
      <alignment horizontal="center" vertical="center" wrapText="1"/>
    </xf>
    <xf numFmtId="0" fontId="2" fillId="2" borderId="7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10" xfId="1" applyFont="1" applyFill="1" applyBorder="1" applyAlignment="1">
      <alignment horizontal="center" vertical="center" wrapText="1"/>
    </xf>
    <xf numFmtId="0" fontId="2" fillId="2" borderId="11" xfId="1" applyFont="1" applyFill="1" applyBorder="1" applyAlignment="1">
      <alignment horizontal="center" vertical="center" wrapText="1"/>
    </xf>
    <xf numFmtId="0" fontId="9" fillId="2" borderId="5" xfId="0" applyFont="1" applyFill="1" applyBorder="1" applyAlignment="1" applyProtection="1">
      <alignment horizontal="right" vertical="center"/>
    </xf>
    <xf numFmtId="0" fontId="9" fillId="2" borderId="6" xfId="0" applyFont="1" applyFill="1" applyBorder="1" applyAlignment="1" applyProtection="1">
      <alignment horizontal="right" vertical="center"/>
    </xf>
    <xf numFmtId="0" fontId="9" fillId="2" borderId="6" xfId="0" applyFont="1" applyFill="1" applyBorder="1" applyAlignment="1" applyProtection="1">
      <alignment horizontal="left" vertical="center"/>
    </xf>
    <xf numFmtId="0" fontId="9" fillId="2" borderId="7" xfId="0" applyFont="1" applyFill="1" applyBorder="1" applyAlignment="1" applyProtection="1">
      <alignment horizontal="left" vertical="center"/>
    </xf>
    <xf numFmtId="0" fontId="9" fillId="7" borderId="1" xfId="0" applyFont="1" applyFill="1" applyBorder="1" applyAlignment="1" applyProtection="1">
      <alignment horizontal="center" vertical="center" wrapText="1"/>
    </xf>
    <xf numFmtId="0" fontId="9" fillId="7" borderId="3" xfId="0" applyFont="1" applyFill="1" applyBorder="1" applyAlignment="1" applyProtection="1">
      <alignment horizontal="center" vertical="center" wrapText="1"/>
    </xf>
    <xf numFmtId="9" fontId="9" fillId="2" borderId="15" xfId="0" applyNumberFormat="1" applyFont="1" applyFill="1" applyBorder="1" applyAlignment="1" applyProtection="1">
      <alignment horizontal="center" vertical="center"/>
    </xf>
    <xf numFmtId="9" fontId="12" fillId="7" borderId="16" xfId="0" applyNumberFormat="1" applyFont="1" applyFill="1" applyBorder="1" applyAlignment="1" applyProtection="1">
      <alignment horizontal="center" vertical="center"/>
    </xf>
    <xf numFmtId="9" fontId="12" fillId="7" borderId="17" xfId="0" applyNumberFormat="1" applyFont="1" applyFill="1" applyBorder="1" applyAlignment="1" applyProtection="1">
      <alignment horizontal="center" vertical="center"/>
    </xf>
    <xf numFmtId="9" fontId="12" fillId="7" borderId="18" xfId="0" applyNumberFormat="1" applyFont="1" applyFill="1" applyBorder="1" applyAlignment="1" applyProtection="1">
      <alignment horizontal="center" vertical="center"/>
    </xf>
  </cellXfs>
  <cellStyles count="3">
    <cellStyle name="常规" xfId="0" builtinId="0"/>
    <cellStyle name="常规 2" xfId="1"/>
    <cellStyle name="超链接" xfId="2" builtinId="8"/>
  </cellStyles>
  <dxfs count="4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宋体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宋体"/>
        <scheme val="minor"/>
      </font>
      <numFmt numFmtId="179" formatCode="yy/m/d\ h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9"/>
        <color rgb="FF1F02CA"/>
        <name val="宋体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m/d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宋体"/>
        <scheme val="minor"/>
      </font>
      <fill>
        <patternFill patternType="solid">
          <fgColor indexed="64"/>
          <bgColor theme="1"/>
        </patternFill>
      </fill>
      <alignment horizontal="general" vertical="center" textRotation="0" wrapText="1" indent="0" justifyLastLine="0" shrinkToFit="0" readingOrder="0"/>
      <protection locked="1" hidden="0"/>
    </dxf>
    <dxf>
      <fill>
        <patternFill>
          <bgColor rgb="FF92D050"/>
        </patternFill>
      </fill>
    </dxf>
    <dxf>
      <fill>
        <patternFill>
          <bgColor rgb="FFB3B9B7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6" formatCode="yyyy/m/d\ hh:mm:ss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6" formatCode="yyyy/m/d\ hh:mm:ss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0"/>
        <name val="宋体"/>
        <scheme val="minor"/>
      </font>
    </dxf>
    <dxf>
      <fill>
        <patternFill>
          <bgColor theme="1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1" tint="0.499984740745262"/>
        </vertical>
        <horizontal style="thin">
          <color theme="1" tint="0.499984740745262"/>
        </horizontal>
      </border>
    </dxf>
  </dxfs>
  <tableStyles count="1" defaultTableStyle="TableStyleMedium2">
    <tableStyle name="表样式 1" pivot="0" count="2">
      <tableStyleElement type="wholeTable" dxfId="44"/>
      <tableStyleElement type="headerRow" dxfId="43"/>
    </tableStyle>
  </tableStyles>
  <colors>
    <mruColors>
      <color rgb="FFB3B9B7"/>
      <color rgb="FF1F02CA"/>
      <color rgb="FF00FF00"/>
      <color rgb="FFFC6CD6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燃尽图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预计剩余工时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数据统计!$O$1:$BI$1</c:f>
              <c:numCache>
                <c:formatCode>m/d;@</c:formatCode>
                <c:ptCount val="47"/>
                <c:pt idx="0">
                  <c:v>43080</c:v>
                </c:pt>
                <c:pt idx="1">
                  <c:v>43081</c:v>
                </c:pt>
                <c:pt idx="2">
                  <c:v>43082</c:v>
                </c:pt>
                <c:pt idx="3">
                  <c:v>43083</c:v>
                </c:pt>
                <c:pt idx="4">
                  <c:v>43084</c:v>
                </c:pt>
                <c:pt idx="5">
                  <c:v>43085</c:v>
                </c:pt>
                <c:pt idx="6">
                  <c:v>43086</c:v>
                </c:pt>
                <c:pt idx="7">
                  <c:v>43087</c:v>
                </c:pt>
                <c:pt idx="8">
                  <c:v>43088</c:v>
                </c:pt>
                <c:pt idx="9">
                  <c:v>43089</c:v>
                </c:pt>
                <c:pt idx="10">
                  <c:v>43090</c:v>
                </c:pt>
                <c:pt idx="11">
                  <c:v>43091</c:v>
                </c:pt>
                <c:pt idx="12">
                  <c:v>43092</c:v>
                </c:pt>
                <c:pt idx="13">
                  <c:v>43093</c:v>
                </c:pt>
                <c:pt idx="14">
                  <c:v>43094</c:v>
                </c:pt>
                <c:pt idx="15">
                  <c:v>43095</c:v>
                </c:pt>
                <c:pt idx="16">
                  <c:v>43096</c:v>
                </c:pt>
                <c:pt idx="17">
                  <c:v>43097</c:v>
                </c:pt>
                <c:pt idx="18">
                  <c:v>43098</c:v>
                </c:pt>
                <c:pt idx="19">
                  <c:v>43099</c:v>
                </c:pt>
                <c:pt idx="20">
                  <c:v>43100</c:v>
                </c:pt>
                <c:pt idx="21">
                  <c:v>43101</c:v>
                </c:pt>
                <c:pt idx="22">
                  <c:v>43102</c:v>
                </c:pt>
                <c:pt idx="23">
                  <c:v>43103</c:v>
                </c:pt>
                <c:pt idx="24">
                  <c:v>43104</c:v>
                </c:pt>
                <c:pt idx="25">
                  <c:v>43105</c:v>
                </c:pt>
                <c:pt idx="26">
                  <c:v>43106</c:v>
                </c:pt>
                <c:pt idx="27">
                  <c:v>43107</c:v>
                </c:pt>
                <c:pt idx="28">
                  <c:v>43108</c:v>
                </c:pt>
                <c:pt idx="29">
                  <c:v>43109</c:v>
                </c:pt>
                <c:pt idx="30">
                  <c:v>43110</c:v>
                </c:pt>
                <c:pt idx="31">
                  <c:v>43111</c:v>
                </c:pt>
                <c:pt idx="32">
                  <c:v>43112</c:v>
                </c:pt>
                <c:pt idx="33">
                  <c:v>43113</c:v>
                </c:pt>
                <c:pt idx="34">
                  <c:v>43114</c:v>
                </c:pt>
                <c:pt idx="35">
                  <c:v>43115</c:v>
                </c:pt>
                <c:pt idx="36">
                  <c:v>43116</c:v>
                </c:pt>
                <c:pt idx="37">
                  <c:v>43117</c:v>
                </c:pt>
                <c:pt idx="38">
                  <c:v>43118</c:v>
                </c:pt>
                <c:pt idx="39">
                  <c:v>43119</c:v>
                </c:pt>
                <c:pt idx="40">
                  <c:v>43120</c:v>
                </c:pt>
                <c:pt idx="41">
                  <c:v>43121</c:v>
                </c:pt>
                <c:pt idx="42">
                  <c:v>43122</c:v>
                </c:pt>
                <c:pt idx="43">
                  <c:v>43123</c:v>
                </c:pt>
                <c:pt idx="44">
                  <c:v>43124</c:v>
                </c:pt>
                <c:pt idx="45">
                  <c:v>43125</c:v>
                </c:pt>
                <c:pt idx="46">
                  <c:v>43126</c:v>
                </c:pt>
              </c:numCache>
            </c:numRef>
          </c:cat>
          <c:val>
            <c:numRef>
              <c:f>数据统计!$O$2:$BI$2</c:f>
              <c:numCache>
                <c:formatCode>General</c:formatCode>
                <c:ptCount val="47"/>
                <c:pt idx="0">
                  <c:v>424.8</c:v>
                </c:pt>
                <c:pt idx="1">
                  <c:v>377.6</c:v>
                </c:pt>
                <c:pt idx="2">
                  <c:v>330.4</c:v>
                </c:pt>
                <c:pt idx="3">
                  <c:v>283.2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188.8</c:v>
                </c:pt>
                <c:pt idx="8">
                  <c:v>141.60000000000002</c:v>
                </c:pt>
                <c:pt idx="9">
                  <c:v>94.399999999999977</c:v>
                </c:pt>
                <c:pt idx="10">
                  <c:v>47.199999999999989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2E-49B5-8884-87AFF6DD256E}"/>
            </c:ext>
          </c:extLst>
        </c:ser>
        <c:ser>
          <c:idx val="1"/>
          <c:order val="1"/>
          <c:tx>
            <c:v>实际剩余工时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数据统计!$O$1:$BI$1</c:f>
              <c:numCache>
                <c:formatCode>m/d;@</c:formatCode>
                <c:ptCount val="47"/>
                <c:pt idx="0">
                  <c:v>43080</c:v>
                </c:pt>
                <c:pt idx="1">
                  <c:v>43081</c:v>
                </c:pt>
                <c:pt idx="2">
                  <c:v>43082</c:v>
                </c:pt>
                <c:pt idx="3">
                  <c:v>43083</c:v>
                </c:pt>
                <c:pt idx="4">
                  <c:v>43084</c:v>
                </c:pt>
                <c:pt idx="5">
                  <c:v>43085</c:v>
                </c:pt>
                <c:pt idx="6">
                  <c:v>43086</c:v>
                </c:pt>
                <c:pt idx="7">
                  <c:v>43087</c:v>
                </c:pt>
                <c:pt idx="8">
                  <c:v>43088</c:v>
                </c:pt>
                <c:pt idx="9">
                  <c:v>43089</c:v>
                </c:pt>
                <c:pt idx="10">
                  <c:v>43090</c:v>
                </c:pt>
                <c:pt idx="11">
                  <c:v>43091</c:v>
                </c:pt>
                <c:pt idx="12">
                  <c:v>43092</c:v>
                </c:pt>
                <c:pt idx="13">
                  <c:v>43093</c:v>
                </c:pt>
                <c:pt idx="14">
                  <c:v>43094</c:v>
                </c:pt>
                <c:pt idx="15">
                  <c:v>43095</c:v>
                </c:pt>
                <c:pt idx="16">
                  <c:v>43096</c:v>
                </c:pt>
                <c:pt idx="17">
                  <c:v>43097</c:v>
                </c:pt>
                <c:pt idx="18">
                  <c:v>43098</c:v>
                </c:pt>
                <c:pt idx="19">
                  <c:v>43099</c:v>
                </c:pt>
                <c:pt idx="20">
                  <c:v>43100</c:v>
                </c:pt>
                <c:pt idx="21">
                  <c:v>43101</c:v>
                </c:pt>
                <c:pt idx="22">
                  <c:v>43102</c:v>
                </c:pt>
                <c:pt idx="23">
                  <c:v>43103</c:v>
                </c:pt>
                <c:pt idx="24">
                  <c:v>43104</c:v>
                </c:pt>
                <c:pt idx="25">
                  <c:v>43105</c:v>
                </c:pt>
                <c:pt idx="26">
                  <c:v>43106</c:v>
                </c:pt>
                <c:pt idx="27">
                  <c:v>43107</c:v>
                </c:pt>
                <c:pt idx="28">
                  <c:v>43108</c:v>
                </c:pt>
                <c:pt idx="29">
                  <c:v>43109</c:v>
                </c:pt>
                <c:pt idx="30">
                  <c:v>43110</c:v>
                </c:pt>
                <c:pt idx="31">
                  <c:v>43111</c:v>
                </c:pt>
                <c:pt idx="32">
                  <c:v>43112</c:v>
                </c:pt>
                <c:pt idx="33">
                  <c:v>43113</c:v>
                </c:pt>
                <c:pt idx="34">
                  <c:v>43114</c:v>
                </c:pt>
                <c:pt idx="35">
                  <c:v>43115</c:v>
                </c:pt>
                <c:pt idx="36">
                  <c:v>43116</c:v>
                </c:pt>
                <c:pt idx="37">
                  <c:v>43117</c:v>
                </c:pt>
                <c:pt idx="38">
                  <c:v>43118</c:v>
                </c:pt>
                <c:pt idx="39">
                  <c:v>43119</c:v>
                </c:pt>
                <c:pt idx="40">
                  <c:v>43120</c:v>
                </c:pt>
                <c:pt idx="41">
                  <c:v>43121</c:v>
                </c:pt>
                <c:pt idx="42">
                  <c:v>43122</c:v>
                </c:pt>
                <c:pt idx="43">
                  <c:v>43123</c:v>
                </c:pt>
                <c:pt idx="44">
                  <c:v>43124</c:v>
                </c:pt>
                <c:pt idx="45">
                  <c:v>43125</c:v>
                </c:pt>
                <c:pt idx="46">
                  <c:v>43126</c:v>
                </c:pt>
              </c:numCache>
            </c:numRef>
          </c:cat>
          <c:val>
            <c:numRef>
              <c:f>数据统计!$O$3:$BI$3</c:f>
              <c:numCache>
                <c:formatCode>General</c:formatCode>
                <c:ptCount val="47"/>
                <c:pt idx="0">
                  <c:v>472</c:v>
                </c:pt>
                <c:pt idx="1">
                  <c:v>472</c:v>
                </c:pt>
                <c:pt idx="2">
                  <c:v>472</c:v>
                </c:pt>
                <c:pt idx="3">
                  <c:v>472</c:v>
                </c:pt>
                <c:pt idx="4">
                  <c:v>472</c:v>
                </c:pt>
                <c:pt idx="5">
                  <c:v>472</c:v>
                </c:pt>
                <c:pt idx="6">
                  <c:v>472</c:v>
                </c:pt>
                <c:pt idx="7">
                  <c:v>472</c:v>
                </c:pt>
                <c:pt idx="8">
                  <c:v>472</c:v>
                </c:pt>
                <c:pt idx="9">
                  <c:v>472</c:v>
                </c:pt>
                <c:pt idx="10">
                  <c:v>472</c:v>
                </c:pt>
                <c:pt idx="11">
                  <c:v>472</c:v>
                </c:pt>
                <c:pt idx="12">
                  <c:v>472</c:v>
                </c:pt>
                <c:pt idx="13">
                  <c:v>472</c:v>
                </c:pt>
                <c:pt idx="14">
                  <c:v>472</c:v>
                </c:pt>
                <c:pt idx="15">
                  <c:v>472</c:v>
                </c:pt>
                <c:pt idx="16">
                  <c:v>472</c:v>
                </c:pt>
                <c:pt idx="17">
                  <c:v>472</c:v>
                </c:pt>
                <c:pt idx="18">
                  <c:v>472</c:v>
                </c:pt>
                <c:pt idx="19">
                  <c:v>472</c:v>
                </c:pt>
                <c:pt idx="20">
                  <c:v>472</c:v>
                </c:pt>
                <c:pt idx="21">
                  <c:v>472</c:v>
                </c:pt>
                <c:pt idx="22">
                  <c:v>472</c:v>
                </c:pt>
                <c:pt idx="23">
                  <c:v>472</c:v>
                </c:pt>
                <c:pt idx="24">
                  <c:v>472</c:v>
                </c:pt>
                <c:pt idx="25">
                  <c:v>472</c:v>
                </c:pt>
                <c:pt idx="26">
                  <c:v>472</c:v>
                </c:pt>
                <c:pt idx="27">
                  <c:v>472</c:v>
                </c:pt>
                <c:pt idx="28">
                  <c:v>472</c:v>
                </c:pt>
                <c:pt idx="29">
                  <c:v>472</c:v>
                </c:pt>
                <c:pt idx="30">
                  <c:v>472</c:v>
                </c:pt>
                <c:pt idx="31">
                  <c:v>472</c:v>
                </c:pt>
                <c:pt idx="32">
                  <c:v>472</c:v>
                </c:pt>
                <c:pt idx="33">
                  <c:v>472</c:v>
                </c:pt>
                <c:pt idx="34">
                  <c:v>472</c:v>
                </c:pt>
                <c:pt idx="35">
                  <c:v>472</c:v>
                </c:pt>
                <c:pt idx="36">
                  <c:v>472</c:v>
                </c:pt>
                <c:pt idx="37">
                  <c:v>472</c:v>
                </c:pt>
                <c:pt idx="38">
                  <c:v>472</c:v>
                </c:pt>
                <c:pt idx="39">
                  <c:v>472</c:v>
                </c:pt>
                <c:pt idx="40">
                  <c:v>472</c:v>
                </c:pt>
                <c:pt idx="41">
                  <c:v>472</c:v>
                </c:pt>
                <c:pt idx="42">
                  <c:v>472</c:v>
                </c:pt>
                <c:pt idx="43">
                  <c:v>472</c:v>
                </c:pt>
                <c:pt idx="44">
                  <c:v>472</c:v>
                </c:pt>
                <c:pt idx="45">
                  <c:v>472</c:v>
                </c:pt>
                <c:pt idx="46">
                  <c:v>472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2E-49B5-8884-87AFF6DD2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089088"/>
        <c:axId val="104090624"/>
      </c:lineChart>
      <c:dateAx>
        <c:axId val="10408908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090624"/>
        <c:crosses val="autoZero"/>
        <c:auto val="1"/>
        <c:lblOffset val="100"/>
        <c:baseTimeUnit val="days"/>
      </c:dateAx>
      <c:valAx>
        <c:axId val="1040906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08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726298547544002"/>
          <c:y val="7.4024526198439244E-2"/>
          <c:w val="0.43768895938413832"/>
          <c:h val="3.7625681405208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200025</xdr:colOff>
      <xdr:row>13</xdr:row>
      <xdr:rowOff>166894</xdr:rowOff>
    </xdr:from>
    <xdr:to>
      <xdr:col>23</xdr:col>
      <xdr:colOff>421171</xdr:colOff>
      <xdr:row>42</xdr:row>
      <xdr:rowOff>59634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0</xdr:rowOff>
    </xdr:from>
    <xdr:to>
      <xdr:col>4</xdr:col>
      <xdr:colOff>0</xdr:colOff>
      <xdr:row>52</xdr:row>
      <xdr:rowOff>0</xdr:rowOff>
    </xdr:to>
    <xdr:grpSp>
      <xdr:nvGrpSpPr>
        <xdr:cNvPr id="12" name="组合 11" hidden="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000125" y="13649325"/>
          <a:ext cx="3571875" cy="1885950"/>
          <a:chOff x="1828800" y="2952750"/>
          <a:chExt cx="4229100" cy="3305175"/>
        </a:xfrm>
      </xdr:grpSpPr>
      <xdr:sp macro="" textlink="">
        <xdr:nvSpPr>
          <xdr:cNvPr id="2" name="矩形 1" hidden="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847850" y="3000374"/>
            <a:ext cx="4181475" cy="3219451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 baseline="0">
                <a:solidFill>
                  <a:sysClr val="windowText" lastClr="000000"/>
                </a:solidFill>
              </a:rPr>
              <a:t>   </a:t>
            </a:r>
            <a:r>
              <a:rPr lang="en-US" altLang="zh-CN" sz="1100">
                <a:solidFill>
                  <a:sysClr val="windowText" lastClr="000000"/>
                </a:solidFill>
              </a:rPr>
              <a:t>----------------------------------------------------------------------------------------</a:t>
            </a:r>
          </a:p>
          <a:p>
            <a:pPr algn="l"/>
            <a:r>
              <a:rPr lang="zh-CN" altLang="en-US" sz="1100">
                <a:solidFill>
                  <a:sysClr val="windowText" lastClr="000000"/>
                </a:solidFill>
              </a:rPr>
              <a:t>      本次耗时</a:t>
            </a:r>
            <a:r>
              <a:rPr lang="en-US" altLang="zh-CN" sz="1100">
                <a:solidFill>
                  <a:sysClr val="windowText" lastClr="000000"/>
                </a:solidFill>
              </a:rPr>
              <a:t>/h                        </a:t>
            </a:r>
            <a:r>
              <a:rPr lang="zh-CN" altLang="en-US" sz="1100">
                <a:solidFill>
                  <a:sysClr val="windowText" lastClr="000000"/>
                </a:solidFill>
              </a:rPr>
              <a:t>剩余工时</a:t>
            </a:r>
            <a:r>
              <a:rPr lang="zh-CN" altLang="en-US" sz="1100" baseline="0">
                <a:solidFill>
                  <a:sysClr val="windowText" lastClr="000000"/>
                </a:solidFill>
              </a:rPr>
              <a:t>                            完成状态</a:t>
            </a:r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 baseline="0">
                <a:solidFill>
                  <a:sysClr val="windowText" lastClr="000000"/>
                </a:solidFill>
              </a:rPr>
              <a:t>  ----------------------------------------</a:t>
            </a:r>
            <a:r>
              <a:rPr lang="zh-CN" altLang="en-US" sz="1100" baseline="0">
                <a:solidFill>
                  <a:sysClr val="windowText" lastClr="000000"/>
                </a:solidFill>
              </a:rPr>
              <a:t>备注</a:t>
            </a:r>
            <a:r>
              <a:rPr lang="en-US" altLang="zh-CN" sz="1100" baseline="0">
                <a:solidFill>
                  <a:sysClr val="windowText" lastClr="000000"/>
                </a:solidFill>
              </a:rPr>
              <a:t>--------------------------------------------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" name="矩形 2" hidden="1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847850" y="2981325"/>
            <a:ext cx="4181475" cy="476250"/>
          </a:xfrm>
          <a:prstGeom prst="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zh-CN" altLang="en-US" sz="1800" b="1">
                <a:solidFill>
                  <a:sysClr val="windowText" lastClr="000000"/>
                </a:solidFill>
                <a:latin typeface="04b_21" panose="00000400000000000000" pitchFamily="2" charset="0"/>
                <a:ea typeface="+mn-ea"/>
                <a:cs typeface="+mn-cs"/>
              </a:rPr>
              <a:t>更新工单</a:t>
            </a:r>
          </a:p>
        </xdr:txBody>
      </xdr:sp>
      <xdr:pic macro="[0]!禁用">
        <xdr:nvPicPr>
          <xdr:cNvPr id="9" name="图片 8" hidden="1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28800" y="2952750"/>
            <a:ext cx="4229100" cy="330517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67" name="ComboBox1" hidden="1">
                <a:extLst>
                  <a:ext uri="{63B3BB69-23CF-44E3-9099-C40C66FF867C}">
                    <a14:compatExt spid="_x0000_s1167"/>
                  </a:ext>
                </a:extLst>
              </xdr:cNvPr>
              <xdr:cNvSpPr/>
            </xdr:nvSpPr>
            <xdr:spPr>
              <a:xfrm>
                <a:off x="4752975" y="4267202"/>
                <a:ext cx="1181100" cy="295265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68" name="TextBox2" hidden="1">
                <a:extLst>
                  <a:ext uri="{63B3BB69-23CF-44E3-9099-C40C66FF867C}">
                    <a14:compatExt spid="_x0000_s1168"/>
                  </a:ext>
                </a:extLst>
              </xdr:cNvPr>
              <xdr:cNvSpPr/>
            </xdr:nvSpPr>
            <xdr:spPr>
              <a:xfrm>
                <a:off x="3371850" y="4267202"/>
                <a:ext cx="1028699" cy="295265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69" name="TextBox3" hidden="1">
                <a:extLst>
                  <a:ext uri="{63B3BB69-23CF-44E3-9099-C40C66FF867C}">
                    <a14:compatExt spid="_x0000_s1169"/>
                  </a:ext>
                </a:extLst>
              </xdr:cNvPr>
              <xdr:cNvSpPr/>
            </xdr:nvSpPr>
            <xdr:spPr>
              <a:xfrm>
                <a:off x="1943102" y="4981570"/>
                <a:ext cx="3981450" cy="790576"/>
              </a:xfrm>
              <a:prstGeom prst="rect">
                <a:avLst/>
              </a:prstGeom>
            </xdr:spPr>
          </xdr:sp>
        </mc:Choice>
        <mc:Fallback/>
      </mc:AlternateContent>
      <xdr:sp macro="[0]!关闭" textlink="">
        <xdr:nvSpPr>
          <xdr:cNvPr id="4" name="关闭" hidden="1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5562600" y="2981324"/>
            <a:ext cx="476250" cy="466725"/>
          </a:xfrm>
          <a:prstGeom prst="ellipse">
            <a:avLst/>
          </a:prstGeom>
          <a:solidFill>
            <a:srgbClr val="FF0000"/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3600">
                <a:solidFill>
                  <a:sysClr val="windowText" lastClr="000000"/>
                </a:solidFill>
              </a:rPr>
              <a:t>X</a:t>
            </a:r>
            <a:endParaRPr lang="zh-CN" altLang="en-US" sz="3600">
              <a:solidFill>
                <a:sysClr val="windowText" lastClr="000000"/>
              </a:solidFill>
            </a:endParaRPr>
          </a:p>
        </xdr:txBody>
      </xdr:sp>
      <xdr:sp macro="[0]!确定" textlink="">
        <xdr:nvSpPr>
          <xdr:cNvPr id="11" name="矩形: 圆角 10" hidden="1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3419475" y="5819775"/>
            <a:ext cx="971550" cy="342900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zh-CN" altLang="en-US" sz="1200" b="1">
                <a:solidFill>
                  <a:sysClr val="windowText" lastClr="000000"/>
                </a:solidFill>
              </a:rPr>
              <a:t>确定</a:t>
            </a:r>
          </a:p>
        </xdr:txBody>
      </xdr:sp>
    </xdr:grpSp>
    <xdr:clientData/>
  </xdr:twoCellAnchor>
  <xdr:twoCellAnchor editAs="absolute">
    <xdr:from>
      <xdr:col>1</xdr:col>
      <xdr:colOff>19051</xdr:colOff>
      <xdr:row>2</xdr:row>
      <xdr:rowOff>19051</xdr:rowOff>
    </xdr:from>
    <xdr:to>
      <xdr:col>2</xdr:col>
      <xdr:colOff>314325</xdr:colOff>
      <xdr:row>3</xdr:row>
      <xdr:rowOff>200025</xdr:rowOff>
    </xdr:to>
    <xdr:sp macro="[0]!更新" textlink="">
      <xdr:nvSpPr>
        <xdr:cNvPr id="5" name="矩形: 圆角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76201" y="276226"/>
          <a:ext cx="857249" cy="219074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更新进度</a:t>
          </a:r>
        </a:p>
      </xdr:txBody>
    </xdr:sp>
    <xdr:clientData/>
  </xdr:twoCellAnchor>
  <xdr:twoCellAnchor editAs="absolute">
    <xdr:from>
      <xdr:col>3</xdr:col>
      <xdr:colOff>3495675</xdr:colOff>
      <xdr:row>4</xdr:row>
      <xdr:rowOff>187325</xdr:rowOff>
    </xdr:from>
    <xdr:to>
      <xdr:col>13</xdr:col>
      <xdr:colOff>1600201</xdr:colOff>
      <xdr:row>15</xdr:row>
      <xdr:rowOff>129280</xdr:rowOff>
    </xdr:to>
    <xdr:grpSp>
      <xdr:nvGrpSpPr>
        <xdr:cNvPr id="6" name="组合 5" hidden="1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4495800" y="692150"/>
          <a:ext cx="4838701" cy="3342380"/>
          <a:chOff x="4371975" y="9694213"/>
          <a:chExt cx="4848226" cy="3936393"/>
        </a:xfrm>
      </xdr:grpSpPr>
      <xdr:sp macro="" textlink="">
        <xdr:nvSpPr>
          <xdr:cNvPr id="15" name="矩形 14" hidden="1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4400551" y="9987819"/>
            <a:ext cx="4800600" cy="3587094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---------------------------------------------</a:t>
            </a:r>
            <a:r>
              <a:rPr lang="zh-CN" altLang="en-US" sz="11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任务描述</a:t>
            </a:r>
            <a:r>
              <a:rPr lang="en-US" altLang="zh-CN" sz="11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-------------------------------------------------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 baseline="0">
                <a:solidFill>
                  <a:sysClr val="windowText" lastClr="000000"/>
                </a:solidFill>
              </a:rPr>
              <a:t>  --------------------------------------------</a:t>
            </a:r>
            <a:r>
              <a:rPr lang="zh-CN" altLang="en-US" sz="1100" baseline="0">
                <a:solidFill>
                  <a:sysClr val="windowText" lastClr="000000"/>
                </a:solidFill>
              </a:rPr>
              <a:t>完成备注</a:t>
            </a:r>
            <a:r>
              <a:rPr lang="en-US" altLang="zh-CN" sz="1100" baseline="0">
                <a:solidFill>
                  <a:sysClr val="windowText" lastClr="000000"/>
                </a:solidFill>
              </a:rPr>
              <a:t>-------------------------------------------------</a:t>
            </a: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algn="l"/>
            <a:endParaRPr lang="en-US" altLang="zh-CN" sz="1100" baseline="0">
              <a:solidFill>
                <a:sysClr val="windowText" lastClr="000000"/>
              </a:solidFill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1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 ---------------------------------------------</a:t>
            </a:r>
            <a:r>
              <a:rPr lang="zh-CN" altLang="en-US" sz="11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验收反馈</a:t>
            </a:r>
            <a:r>
              <a:rPr lang="en-US" altLang="zh-CN" sz="11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-----------------------------------------------</a:t>
            </a:r>
            <a:endParaRPr lang="zh-CN" altLang="zh-CN">
              <a:solidFill>
                <a:sysClr val="windowText" lastClr="000000"/>
              </a:solidFill>
              <a:effectLst/>
            </a:endParaRPr>
          </a:p>
          <a:p>
            <a:pPr algn="l"/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文本框2" hidden="1">
            <a:extLst>
              <a:ext uri="{FF2B5EF4-FFF2-40B4-BE49-F238E27FC236}">
                <a16:creationId xmlns="" xmlns:a16="http://schemas.microsoft.com/office/drawing/2014/main" id="{00000000-0008-0000-0100-00001C000000}"/>
              </a:ext>
            </a:extLst>
          </xdr:cNvPr>
          <xdr:cNvSpPr txBox="1"/>
        </xdr:nvSpPr>
        <xdr:spPr>
          <a:xfrm>
            <a:off x="4505326" y="11291309"/>
            <a:ext cx="4638674" cy="712744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endParaRPr lang="zh-CN" altLang="en-US" sz="1000">
              <a:solidFill>
                <a:srgbClr val="C00000"/>
              </a:solidFill>
            </a:endParaRPr>
          </a:p>
        </xdr:txBody>
      </xdr:sp>
      <xdr:sp macro="" textlink="">
        <xdr:nvSpPr>
          <xdr:cNvPr id="16" name="矩形 15" hidden="1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4400551" y="9737102"/>
            <a:ext cx="4800600" cy="469536"/>
          </a:xfrm>
          <a:prstGeom prst="rect">
            <a:avLst/>
          </a:prstGeom>
          <a:solidFill>
            <a:srgbClr val="00B050"/>
          </a:solidFill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zh-CN" altLang="en-US" sz="1800" b="1">
                <a:solidFill>
                  <a:sysClr val="windowText" lastClr="000000"/>
                </a:solidFill>
                <a:latin typeface="04b_21" panose="00000400000000000000" pitchFamily="2" charset="0"/>
                <a:ea typeface="+mn-ea"/>
                <a:cs typeface="+mn-cs"/>
              </a:rPr>
              <a:t>验收工单</a:t>
            </a:r>
          </a:p>
        </xdr:txBody>
      </xdr:sp>
      <xdr:sp macro="" textlink="">
        <xdr:nvSpPr>
          <xdr:cNvPr id="17" name="文本框1" hidden="1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4486276" y="10467139"/>
            <a:ext cx="4657724" cy="578819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zh-CN" altLang="en-US" sz="1000">
                <a:solidFill>
                  <a:srgbClr val="C00000"/>
                </a:solidFill>
              </a:rPr>
              <a:t>排位赛匹配优化（底部红色新增部分）</a:t>
            </a:r>
          </a:p>
        </xdr:txBody>
      </xdr:sp>
      <xdr:pic macro="[0]!禁用">
        <xdr:nvPicPr>
          <xdr:cNvPr id="18" name="图片 17" hidden="1">
            <a:extLst>
              <a:ext uri="{FF2B5EF4-FFF2-40B4-BE49-F238E27FC236}">
                <a16:creationId xmlns=""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71975" y="9694213"/>
            <a:ext cx="4848226" cy="393639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74" name="TextBox1" hidden="1">
                <a:extLst>
                  <a:ext uri="{63B3BB69-23CF-44E3-9099-C40C66FF867C}">
                    <a14:compatExt spid="_x0000_s1174"/>
                  </a:ext>
                </a:extLst>
              </xdr:cNvPr>
              <xdr:cNvSpPr/>
            </xdr:nvSpPr>
            <xdr:spPr>
              <a:xfrm>
                <a:off x="4524730" y="12305833"/>
                <a:ext cx="3645282" cy="1201073"/>
              </a:xfrm>
              <a:prstGeom prst="rect">
                <a:avLst/>
              </a:prstGeom>
            </xdr:spPr>
          </xdr:sp>
        </mc:Choice>
        <mc:Fallback/>
      </mc:AlternateContent>
      <xdr:sp macro="[0]!关闭" textlink="">
        <xdr:nvSpPr>
          <xdr:cNvPr id="23" name="关闭" hidden="1">
            <a:extLst>
              <a:ext uri="{FF2B5EF4-FFF2-40B4-BE49-F238E27FC236}">
                <a16:creationId xmlns=""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8782049" y="9749749"/>
            <a:ext cx="409575" cy="423485"/>
          </a:xfrm>
          <a:prstGeom prst="ellipse">
            <a:avLst/>
          </a:prstGeom>
          <a:solidFill>
            <a:srgbClr val="FF0000"/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3600">
                <a:solidFill>
                  <a:sysClr val="windowText" lastClr="000000"/>
                </a:solidFill>
              </a:rPr>
              <a:t>X</a:t>
            </a:r>
            <a:endParaRPr lang="zh-CN" altLang="en-US" sz="3600">
              <a:solidFill>
                <a:sysClr val="windowText" lastClr="000000"/>
              </a:solidFill>
            </a:endParaRPr>
          </a:p>
        </xdr:txBody>
      </xdr:sp>
      <xdr:sp macro="[0]!验收通过" textlink="">
        <xdr:nvSpPr>
          <xdr:cNvPr id="24" name="矩形: 圆角 23" hidden="1">
            <a:extLst>
              <a:ext uri="{FF2B5EF4-FFF2-40B4-BE49-F238E27FC236}">
                <a16:creationId xmlns=""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8248650" y="12295498"/>
            <a:ext cx="838200" cy="325130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zh-CN" altLang="en-US" sz="1200" b="1">
                <a:solidFill>
                  <a:sysClr val="windowText" lastClr="000000"/>
                </a:solidFill>
              </a:rPr>
              <a:t>验收通过</a:t>
            </a:r>
          </a:p>
        </xdr:txBody>
      </xdr:sp>
      <xdr:sp macro="[0]!验收未通过" textlink="">
        <xdr:nvSpPr>
          <xdr:cNvPr id="29" name="矩形: 圆角 28" hidden="1">
            <a:extLst>
              <a:ext uri="{FF2B5EF4-FFF2-40B4-BE49-F238E27FC236}">
                <a16:creationId xmlns=""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8258175" y="13057500"/>
            <a:ext cx="838200" cy="325130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zh-CN" altLang="en-US" sz="1200" b="1">
                <a:solidFill>
                  <a:sysClr val="windowText" lastClr="000000"/>
                </a:solidFill>
              </a:rPr>
              <a:t>未通过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3" name="表3" displayName="表3" ref="A4:K14" totalsRowShown="0" headerRowDxfId="42" dataDxfId="41">
  <autoFilter ref="A4:K14"/>
  <tableColumns count="11">
    <tableColumn id="1" name="最后更新动态条目" dataDxfId="40"/>
    <tableColumn id="2" name="最后更新日期" dataDxfId="39"/>
    <tableColumn id="3" name="人员" dataDxfId="38"/>
    <tableColumn id="4" name="岗位" dataDxfId="37"/>
    <tableColumn id="13" name="昨日工时" dataDxfId="36" dataCellStyle="常规 2">
      <calculatedColumnFormula>SUMIFS(人员动态!$C:$C,人员动态!$A:$A,表3[[#This Row],[人员]],人员动态!$B:$B,"&gt;"&amp;YEAR(NOW())&amp;"/"&amp;MONTH(NOW())&amp;"/"&amp;DAY(NOW())-1,人员动态!$B:$B,"&lt;"&amp;YEAR(NOW())&amp;"/"&amp;MONTH(NOW())&amp;"/"&amp;DAY(NOW()))</calculatedColumnFormula>
    </tableColumn>
    <tableColumn id="5" name="原估时" dataDxfId="35">
      <calculatedColumnFormula>SUMIFS(工单表[原估时],工单表[责任人],表3[[#This Row],[人员]],工单表[优先级],"&lt;"&amp;8)</calculatedColumnFormula>
    </tableColumn>
    <tableColumn id="6" name="新估时" dataDxfId="34">
      <calculatedColumnFormula>SUMIFS(工单表[新估时],工单表[责任人],表3[[#This Row],[人员]],工单表[优先级],"&lt;"&amp;8)</calculatedColumnFormula>
    </tableColumn>
    <tableColumn id="9" name="原饱和度" dataDxfId="33">
      <calculatedColumnFormula>表3[[#This Row],[原估时]]/计划内容!$C$2</calculatedColumnFormula>
    </tableColumn>
    <tableColumn id="7" name="现饱和度" dataDxfId="32">
      <calculatedColumnFormula>表3[[#This Row],[新估时]]/计划内容!$C$2</calculatedColumnFormula>
    </tableColumn>
    <tableColumn id="8" name="总进度" dataDxfId="31">
      <calculatedColumnFormula>IFERROR(SUMIF(工单表[责任人],表3[[#This Row],[人员]],工单表[耗时])/表3[[#This Row],[新估时]],0)</calculatedColumnFormula>
    </tableColumn>
    <tableColumn id="11" name="剩余工时" dataDxfId="30">
      <calculatedColumnFormula>ROUND(表3[[#This Row],[原估时]]*(1-表3[[#This Row],[总进度]]),0)</calculatedColumnFormula>
    </tableColumn>
  </tableColumns>
  <tableStyleInfo name="表样式 1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M1:M10" totalsRowShown="0" dataDxfId="29" headerRowCellStyle="常规 2" dataCellStyle="常规 2">
  <autoFilter ref="M1:M10"/>
  <tableColumns count="1">
    <tableColumn id="1" name="优先级" dataDxfId="28" dataCellStyle="常规 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工单表" displayName="工单表" ref="B5:S259" totalsRowShown="0" headerRowDxfId="20" dataDxfId="19" tableBorderDxfId="18">
  <autoFilter ref="B5:S259"/>
  <sortState ref="B6:S259">
    <sortCondition ref="F86"/>
  </sortState>
  <tableColumns count="18">
    <tableColumn id="1" name="工单" dataDxfId="17"/>
    <tableColumn id="2" name="责任人" dataDxfId="16"/>
    <tableColumn id="3" name="任务描述" dataDxfId="15"/>
    <tableColumn id="16" name="岗位" dataDxfId="14">
      <calculatedColumnFormula>IFERROR(VLOOKUP(工单表[[#This Row],[责任人]],表3[[人员]:[岗位]],2,FALSE),"")</calculatedColumnFormula>
    </tableColumn>
    <tableColumn id="5" name="优先级" dataDxfId="13"/>
    <tableColumn id="7" name="原估时" dataDxfId="12"/>
    <tableColumn id="8" name="截止" dataDxfId="11"/>
    <tableColumn id="6" name="新估时" dataDxfId="10"/>
    <tableColumn id="9" name="耗时" dataDxfId="9"/>
    <tableColumn id="10" name="进度" dataDxfId="8">
      <calculatedColumnFormula>IF(工单表[[#This Row],[验收备注]]="已关闭",1,IFERROR(工单表[[#This Row],[耗时]]/IF(工单表[[#This Row],[新估时]]&gt;0,工单表[[#This Row],[新估时]],工单表[[#This Row],[原估时]]),""))</calculatedColumnFormula>
    </tableColumn>
    <tableColumn id="4" name="前置工单" dataDxfId="7"/>
    <tableColumn id="17" name="前置进度" dataDxfId="6">
      <calculatedColumnFormula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calculatedColumnFormula>
    </tableColumn>
    <tableColumn id="11" name="完成备注" dataDxfId="5"/>
    <tableColumn id="12" name="完成状态" dataDxfId="4"/>
    <tableColumn id="13" name="验收备注" dataDxfId="3"/>
    <tableColumn id="14" name="是否新增" dataDxfId="2"/>
    <tableColumn id="15" name="最后更新" dataDxfId="1"/>
    <tableColumn id="18" name="是否需要测试" dataDxfId="0"/>
  </tableColumns>
  <tableStyleInfo name="表样式 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192.168.35.247:8088/zentao/story-view-125.html" TargetMode="External"/><Relationship Id="rId13" Type="http://schemas.openxmlformats.org/officeDocument/2006/relationships/drawing" Target="../drawings/drawing2.xml"/><Relationship Id="rId18" Type="http://schemas.openxmlformats.org/officeDocument/2006/relationships/image" Target="../media/image2.emf"/><Relationship Id="rId3" Type="http://schemas.openxmlformats.org/officeDocument/2006/relationships/hyperlink" Target="http://192.168.35.247:8088/zentao/story-view-106.html" TargetMode="External"/><Relationship Id="rId21" Type="http://schemas.openxmlformats.org/officeDocument/2006/relationships/control" Target="../activeX/activeX4.xml"/><Relationship Id="rId7" Type="http://schemas.openxmlformats.org/officeDocument/2006/relationships/hyperlink" Target="http://192.168.35.247:8088/zentao/story-view-125.html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ontrol" Target="../activeX/activeX2.xml"/><Relationship Id="rId2" Type="http://schemas.openxmlformats.org/officeDocument/2006/relationships/hyperlink" Target="http://192.168.35.247:8088/zentao/story-view-102.html" TargetMode="External"/><Relationship Id="rId16" Type="http://schemas.openxmlformats.org/officeDocument/2006/relationships/image" Target="../media/image1.emf"/><Relationship Id="rId20" Type="http://schemas.openxmlformats.org/officeDocument/2006/relationships/image" Target="../media/image3.emf"/><Relationship Id="rId1" Type="http://schemas.openxmlformats.org/officeDocument/2006/relationships/hyperlink" Target="http://192.168.35.247:8088/zentao/story-view-96.html" TargetMode="External"/><Relationship Id="rId6" Type="http://schemas.openxmlformats.org/officeDocument/2006/relationships/hyperlink" Target="http://192.168.35.247:8088/zentao/story-view-55.html" TargetMode="External"/><Relationship Id="rId11" Type="http://schemas.openxmlformats.org/officeDocument/2006/relationships/hyperlink" Target="http://192.168.35.247:8088/zentao/story-view-97.html" TargetMode="External"/><Relationship Id="rId5" Type="http://schemas.openxmlformats.org/officeDocument/2006/relationships/hyperlink" Target="http://192.168.35.247:8088/zentao/story-view-106.html" TargetMode="External"/><Relationship Id="rId15" Type="http://schemas.openxmlformats.org/officeDocument/2006/relationships/control" Target="../activeX/activeX1.xml"/><Relationship Id="rId23" Type="http://schemas.openxmlformats.org/officeDocument/2006/relationships/table" Target="../tables/table3.xml"/><Relationship Id="rId10" Type="http://schemas.openxmlformats.org/officeDocument/2006/relationships/hyperlink" Target="http://192.168.35.247:8088/zentao/story-view-97.html" TargetMode="External"/><Relationship Id="rId19" Type="http://schemas.openxmlformats.org/officeDocument/2006/relationships/control" Target="../activeX/activeX3.xml"/><Relationship Id="rId4" Type="http://schemas.openxmlformats.org/officeDocument/2006/relationships/hyperlink" Target="http://192.168.35.247:8088/zentao/story-view-106.html" TargetMode="External"/><Relationship Id="rId9" Type="http://schemas.openxmlformats.org/officeDocument/2006/relationships/hyperlink" Target="http://192.168.35.247:8088/zentao/story-view-97.html" TargetMode="External"/><Relationship Id="rId14" Type="http://schemas.openxmlformats.org/officeDocument/2006/relationships/vmlDrawing" Target="../drawings/vmlDrawing1.vml"/><Relationship Id="rId22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8"/>
  <sheetViews>
    <sheetView zoomScale="115" zoomScaleNormal="115" workbookViewId="0">
      <pane ySplit="4" topLeftCell="A5" activePane="bottomLeft" state="frozenSplit"/>
      <selection pane="bottomLeft" activeCell="C19" sqref="C19"/>
    </sheetView>
  </sheetViews>
  <sheetFormatPr defaultColWidth="9" defaultRowHeight="13.5" x14ac:dyDescent="0.15"/>
  <cols>
    <col min="1" max="1" width="3" style="1" customWidth="1"/>
    <col min="2" max="2" width="3.375" style="1" customWidth="1"/>
    <col min="3" max="3" width="6" style="1" customWidth="1"/>
    <col min="4" max="4" width="5.75" style="1" customWidth="1"/>
    <col min="5" max="5" width="9.125" style="1" customWidth="1"/>
    <col min="6" max="6" width="7" style="1" customWidth="1"/>
    <col min="7" max="7" width="7.25" style="1" customWidth="1"/>
    <col min="8" max="9" width="8.625" style="1" customWidth="1"/>
    <col min="10" max="10" width="6.875" style="1" customWidth="1"/>
    <col min="11" max="11" width="8.5" style="1" customWidth="1"/>
    <col min="12" max="12" width="21.25" style="1" customWidth="1"/>
    <col min="13" max="13" width="11.125" style="1" bestFit="1" customWidth="1"/>
    <col min="14" max="14" width="3.75" style="1" customWidth="1"/>
    <col min="15" max="15" width="7.625" style="1" bestFit="1" customWidth="1"/>
    <col min="16" max="23" width="5.5" style="1" customWidth="1"/>
    <col min="24" max="24" width="6" style="1" customWidth="1"/>
    <col min="25" max="66" width="5.5" style="1" customWidth="1"/>
    <col min="67" max="16384" width="9" style="1"/>
  </cols>
  <sheetData>
    <row r="1" spans="1:66" ht="13.5" customHeight="1" x14ac:dyDescent="0.15">
      <c r="A1" s="31">
        <v>43271</v>
      </c>
      <c r="B1" s="22"/>
      <c r="C1" s="113" t="s">
        <v>42</v>
      </c>
      <c r="D1" s="113"/>
      <c r="E1" s="113"/>
      <c r="F1" s="113"/>
      <c r="G1" s="113"/>
      <c r="H1" s="113"/>
      <c r="I1" s="113"/>
      <c r="J1" s="113"/>
      <c r="K1" s="114"/>
      <c r="M1" s="1" t="s">
        <v>36</v>
      </c>
      <c r="O1" s="14">
        <f ca="1">IF(NOW()&gt;=计划内容!$N$2+COLUMN()-15,计划内容!$N$2+COLUMN()-15,"")</f>
        <v>43080</v>
      </c>
      <c r="P1" s="14">
        <f ca="1">IF(NOW()&gt;=计划内容!$N$2+COLUMN()-15,计划内容!$N$2+COLUMN()-15,"")</f>
        <v>43081</v>
      </c>
      <c r="Q1" s="14">
        <f ca="1">IF(NOW()&gt;=计划内容!$N$2+COLUMN()-15,计划内容!$N$2+COLUMN()-15,"")</f>
        <v>43082</v>
      </c>
      <c r="R1" s="14">
        <f ca="1">IF(NOW()&gt;=计划内容!$N$2+COLUMN()-15,计划内容!$N$2+COLUMN()-15,"")</f>
        <v>43083</v>
      </c>
      <c r="S1" s="14">
        <f ca="1">IF(NOW()&gt;=计划内容!$N$2+COLUMN()-15,计划内容!$N$2+COLUMN()-15,"")</f>
        <v>43084</v>
      </c>
      <c r="T1" s="14">
        <f ca="1">IF(NOW()&gt;=计划内容!$N$2+COLUMN()-15,计划内容!$N$2+COLUMN()-15,"")</f>
        <v>43085</v>
      </c>
      <c r="U1" s="14">
        <f ca="1">IF(NOW()&gt;=计划内容!$N$2+COLUMN()-15,计划内容!$N$2+COLUMN()-15,"")</f>
        <v>43086</v>
      </c>
      <c r="V1" s="14">
        <f ca="1">IF(NOW()&gt;=计划内容!$N$2+COLUMN()-15,计划内容!$N$2+COLUMN()-15,"")</f>
        <v>43087</v>
      </c>
      <c r="W1" s="14">
        <f ca="1">IF(NOW()&gt;=计划内容!$N$2+COLUMN()-15,计划内容!$N$2+COLUMN()-15,"")</f>
        <v>43088</v>
      </c>
      <c r="X1" s="14">
        <f ca="1">IF(NOW()&gt;=计划内容!$N$2+COLUMN()-15,计划内容!$N$2+COLUMN()-15,"")</f>
        <v>43089</v>
      </c>
      <c r="Y1" s="14">
        <f ca="1">IF(NOW()&gt;=计划内容!$N$2+COLUMN()-15,计划内容!$N$2+COLUMN()-15,"")</f>
        <v>43090</v>
      </c>
      <c r="Z1" s="14">
        <f ca="1">IF(NOW()&gt;=计划内容!$N$2+COLUMN()-15,计划内容!$N$2+COLUMN()-15,"")</f>
        <v>43091</v>
      </c>
      <c r="AA1" s="14">
        <f ca="1">IF(NOW()&gt;=计划内容!$N$2+COLUMN()-15,计划内容!$N$2+COLUMN()-15,"")</f>
        <v>43092</v>
      </c>
      <c r="AB1" s="14">
        <f ca="1">IF(NOW()&gt;=计划内容!$N$2+COLUMN()-15,计划内容!$N$2+COLUMN()-15,"")</f>
        <v>43093</v>
      </c>
      <c r="AC1" s="14">
        <f ca="1">IF(NOW()&gt;=计划内容!$N$2+COLUMN()-15,计划内容!$N$2+COLUMN()-15,"")</f>
        <v>43094</v>
      </c>
      <c r="AD1" s="14">
        <f ca="1">IF(NOW()&gt;=计划内容!$N$2+COLUMN()-15,计划内容!$N$2+COLUMN()-15,"")</f>
        <v>43095</v>
      </c>
      <c r="AE1" s="14">
        <f ca="1">IF(NOW()&gt;=计划内容!$N$2+COLUMN()-15,计划内容!$N$2+COLUMN()-15,"")</f>
        <v>43096</v>
      </c>
      <c r="AF1" s="14">
        <f ca="1">IF(NOW()&gt;=计划内容!$N$2+COLUMN()-15,计划内容!$N$2+COLUMN()-15,"")</f>
        <v>43097</v>
      </c>
      <c r="AG1" s="14">
        <f ca="1">IF(NOW()&gt;=计划内容!$N$2+COLUMN()-15,计划内容!$N$2+COLUMN()-15,"")</f>
        <v>43098</v>
      </c>
      <c r="AH1" s="14">
        <f ca="1">IF(NOW()&gt;=计划内容!$N$2+COLUMN()-15,计划内容!$N$2+COLUMN()-15,"")</f>
        <v>43099</v>
      </c>
      <c r="AI1" s="14">
        <f ca="1">IF(NOW()&gt;=计划内容!$N$2+COLUMN()-15,计划内容!$N$2+COLUMN()-15,"")</f>
        <v>43100</v>
      </c>
      <c r="AJ1" s="14">
        <f ca="1">IF(NOW()&gt;=计划内容!$N$2+COLUMN()-15,计划内容!$N$2+COLUMN()-15,"")</f>
        <v>43101</v>
      </c>
      <c r="AK1" s="14">
        <f ca="1">IF(NOW()&gt;=计划内容!$N$2+COLUMN()-15,计划内容!$N$2+COLUMN()-15,"")</f>
        <v>43102</v>
      </c>
      <c r="AL1" s="14">
        <f ca="1">IF(NOW()&gt;=计划内容!$N$2+COLUMN()-15,计划内容!$N$2+COLUMN()-15,"")</f>
        <v>43103</v>
      </c>
      <c r="AM1" s="14">
        <f ca="1">IF(NOW()&gt;=计划内容!$N$2+COLUMN()-15,计划内容!$N$2+COLUMN()-15,"")</f>
        <v>43104</v>
      </c>
      <c r="AN1" s="14">
        <f ca="1">IF(NOW()&gt;=计划内容!$N$2+COLUMN()-15,计划内容!$N$2+COLUMN()-15,"")</f>
        <v>43105</v>
      </c>
      <c r="AO1" s="14">
        <f ca="1">IF(NOW()&gt;=计划内容!$N$2+COLUMN()-15,计划内容!$N$2+COLUMN()-15,"")</f>
        <v>43106</v>
      </c>
      <c r="AP1" s="14">
        <f ca="1">IF(NOW()&gt;=计划内容!$N$2+COLUMN()-15,计划内容!$N$2+COLUMN()-15,"")</f>
        <v>43107</v>
      </c>
      <c r="AQ1" s="14">
        <f ca="1">IF(NOW()&gt;=计划内容!$N$2+COLUMN()-15,计划内容!$N$2+COLUMN()-15,"")</f>
        <v>43108</v>
      </c>
      <c r="AR1" s="14">
        <f ca="1">IF(NOW()&gt;=计划内容!$N$2+COLUMN()-15,计划内容!$N$2+COLUMN()-15,"")</f>
        <v>43109</v>
      </c>
      <c r="AS1" s="14">
        <f ca="1">IF(NOW()&gt;=计划内容!$N$2+COLUMN()-15,计划内容!$N$2+COLUMN()-15,"")</f>
        <v>43110</v>
      </c>
      <c r="AT1" s="14">
        <f ca="1">IF(NOW()&gt;=计划内容!$N$2+COLUMN()-15,计划内容!$N$2+COLUMN()-15,"")</f>
        <v>43111</v>
      </c>
      <c r="AU1" s="14">
        <f ca="1">IF(NOW()&gt;=计划内容!$N$2+COLUMN()-15,计划内容!$N$2+COLUMN()-15,"")</f>
        <v>43112</v>
      </c>
      <c r="AV1" s="14">
        <f ca="1">IF(NOW()&gt;=计划内容!$N$2+COLUMN()-15,计划内容!$N$2+COLUMN()-15,"")</f>
        <v>43113</v>
      </c>
      <c r="AW1" s="14">
        <f ca="1">IF(NOW()&gt;=计划内容!$N$2+COLUMN()-15,计划内容!$N$2+COLUMN()-15,"")</f>
        <v>43114</v>
      </c>
      <c r="AX1" s="14">
        <f ca="1">IF(NOW()&gt;=计划内容!$N$2+COLUMN()-15,计划内容!$N$2+COLUMN()-15,"")</f>
        <v>43115</v>
      </c>
      <c r="AY1" s="14">
        <f ca="1">IF(NOW()&gt;=计划内容!$N$2+COLUMN()-15,计划内容!$N$2+COLUMN()-15,"")</f>
        <v>43116</v>
      </c>
      <c r="AZ1" s="14">
        <f ca="1">IF(NOW()&gt;=计划内容!$N$2+COLUMN()-15,计划内容!$N$2+COLUMN()-15,"")</f>
        <v>43117</v>
      </c>
      <c r="BA1" s="14">
        <f ca="1">IF(NOW()&gt;=计划内容!$N$2+COLUMN()-15,计划内容!$N$2+COLUMN()-15,"")</f>
        <v>43118</v>
      </c>
      <c r="BB1" s="14">
        <f ca="1">IF(NOW()&gt;=计划内容!$N$2+COLUMN()-15,计划内容!$N$2+COLUMN()-15,"")</f>
        <v>43119</v>
      </c>
      <c r="BC1" s="14">
        <f ca="1">IF(NOW()&gt;=计划内容!$N$2+COLUMN()-15,计划内容!$N$2+COLUMN()-15,"")</f>
        <v>43120</v>
      </c>
      <c r="BD1" s="14">
        <f ca="1">IF(NOW()&gt;=计划内容!$N$2+COLUMN()-15,计划内容!$N$2+COLUMN()-15,"")</f>
        <v>43121</v>
      </c>
      <c r="BE1" s="14">
        <f ca="1">IF(NOW()&gt;=计划内容!$N$2+COLUMN()-15,计划内容!$N$2+COLUMN()-15,"")</f>
        <v>43122</v>
      </c>
      <c r="BF1" s="14">
        <f ca="1">IF(NOW()&gt;=计划内容!$N$2+COLUMN()-15,计划内容!$N$2+COLUMN()-15,"")</f>
        <v>43123</v>
      </c>
      <c r="BG1" s="14">
        <f ca="1">IF(NOW()&gt;=计划内容!$N$2+COLUMN()-15,计划内容!$N$2+COLUMN()-15,"")</f>
        <v>43124</v>
      </c>
      <c r="BH1" s="14">
        <f ca="1">IF(NOW()&gt;=计划内容!$N$2+COLUMN()-15,计划内容!$N$2+COLUMN()-15,"")</f>
        <v>43125</v>
      </c>
      <c r="BI1" s="14">
        <f ca="1">IF(NOW()&gt;=计划内容!$N$2+COLUMN()-15,计划内容!$N$2+COLUMN()-15,"")</f>
        <v>43126</v>
      </c>
      <c r="BJ1" s="14">
        <f ca="1">IF(NOW()&gt;=计划内容!$N$2+COLUMN()-15,计划内容!$N$2+COLUMN()-15,"")</f>
        <v>43127</v>
      </c>
      <c r="BK1" s="14">
        <f ca="1">IF(NOW()&gt;=计划内容!$N$2+COLUMN()-15,计划内容!$N$2+COLUMN()-15,"")</f>
        <v>43128</v>
      </c>
      <c r="BL1" s="14">
        <f ca="1">IF(NOW()&gt;=计划内容!$N$2+COLUMN()-15,计划内容!$N$2+COLUMN()-15,"")</f>
        <v>43129</v>
      </c>
      <c r="BM1" s="14">
        <f ca="1">IF(NOW()&gt;=计划内容!$N$2+COLUMN()-15,计划内容!$N$2+COLUMN()-15,"")</f>
        <v>43130</v>
      </c>
      <c r="BN1" s="14">
        <f ca="1">IF(NOW()&gt;=计划内容!$N$2+COLUMN()-15,计划内容!$N$2+COLUMN()-15,"")</f>
        <v>43131</v>
      </c>
    </row>
    <row r="2" spans="1:66" x14ac:dyDescent="0.15">
      <c r="B2" s="23"/>
      <c r="C2" s="115"/>
      <c r="D2" s="115"/>
      <c r="E2" s="115"/>
      <c r="F2" s="115"/>
      <c r="G2" s="115"/>
      <c r="H2" s="115"/>
      <c r="I2" s="115"/>
      <c r="J2" s="115"/>
      <c r="K2" s="116"/>
      <c r="M2" s="3">
        <v>1</v>
      </c>
      <c r="N2" s="3"/>
      <c r="O2" s="26">
        <f>MAX(1-NETWORKDAYS(计划内容!$N$2,计划内容!$N$2+COLUMN()-15)/NETWORKDAYS(计划内容!$N$2,计划内容!$P$2),0)*SUM($G$5:$G$23)</f>
        <v>424.8</v>
      </c>
      <c r="P2" s="26">
        <f>MAX(1-NETWORKDAYS(计划内容!$N$2,计划内容!$N$2+COLUMN()-15)/NETWORKDAYS(计划内容!$N$2,计划内容!$P$2),0)*SUM($G$5:$G$23)</f>
        <v>377.6</v>
      </c>
      <c r="Q2" s="26">
        <f>MAX(1-NETWORKDAYS(计划内容!$N$2,计划内容!$N$2+COLUMN()-15)/NETWORKDAYS(计划内容!$N$2,计划内容!$P$2),0)*SUM($G$5:$G$23)</f>
        <v>330.4</v>
      </c>
      <c r="R2" s="26">
        <f>MAX(1-NETWORKDAYS(计划内容!$N$2,计划内容!$N$2+COLUMN()-15)/NETWORKDAYS(计划内容!$N$2,计划内容!$P$2),0)*SUM($G$5:$G$23)</f>
        <v>283.2</v>
      </c>
      <c r="S2" s="26">
        <f>MAX(1-NETWORKDAYS(计划内容!$N$2,计划内容!$N$2+COLUMN()-15)/NETWORKDAYS(计划内容!$N$2,计划内容!$P$2),0)*SUM($G$5:$G$23)</f>
        <v>236</v>
      </c>
      <c r="T2" s="26">
        <f>MAX(1-NETWORKDAYS(计划内容!$N$2,计划内容!$N$2+COLUMN()-15)/NETWORKDAYS(计划内容!$N$2,计划内容!$P$2),0)*SUM($G$5:$G$23)</f>
        <v>236</v>
      </c>
      <c r="U2" s="26">
        <f>MAX(1-NETWORKDAYS(计划内容!$N$2,计划内容!$N$2+COLUMN()-15)/NETWORKDAYS(计划内容!$N$2,计划内容!$P$2),0)*SUM($G$5:$G$23)</f>
        <v>236</v>
      </c>
      <c r="V2" s="26">
        <f>MAX(1-NETWORKDAYS(计划内容!$N$2,计划内容!$N$2+COLUMN()-15)/NETWORKDAYS(计划内容!$N$2,计划内容!$P$2),0)*SUM($G$5:$G$23)</f>
        <v>188.8</v>
      </c>
      <c r="W2" s="26">
        <f>MAX(1-NETWORKDAYS(计划内容!$N$2,计划内容!$N$2+COLUMN()-15)/NETWORKDAYS(计划内容!$N$2,计划内容!$P$2),0)*SUM($G$5:$G$23)</f>
        <v>141.60000000000002</v>
      </c>
      <c r="X2" s="26">
        <f>MAX(1-NETWORKDAYS(计划内容!$N$2,计划内容!$N$2+COLUMN()-15)/NETWORKDAYS(计划内容!$N$2,计划内容!$P$2),0)*SUM($G$5:$G$23)</f>
        <v>94.399999999999977</v>
      </c>
      <c r="Y2" s="26">
        <f>MAX(1-NETWORKDAYS(计划内容!$N$2,计划内容!$N$2+COLUMN()-15)/NETWORKDAYS(计划内容!$N$2,计划内容!$P$2),0)*SUM($G$5:$G$23)</f>
        <v>47.199999999999989</v>
      </c>
      <c r="Z2" s="26">
        <f>MAX(1-NETWORKDAYS(计划内容!$N$2,计划内容!$N$2+COLUMN()-15)/NETWORKDAYS(计划内容!$N$2,计划内容!$P$2),0)*SUM($G$5:$G$23)</f>
        <v>0</v>
      </c>
      <c r="AA2" s="26">
        <f>MAX(1-NETWORKDAYS(计划内容!$N$2,计划内容!$N$2+COLUMN()-15)/NETWORKDAYS(计划内容!$N$2,计划内容!$P$2),0)*SUM($G$5:$G$23)</f>
        <v>0</v>
      </c>
      <c r="AB2" s="26">
        <f>MAX(1-NETWORKDAYS(计划内容!$N$2,计划内容!$N$2+COLUMN()-15)/NETWORKDAYS(计划内容!$N$2,计划内容!$P$2),0)*SUM($G$5:$G$23)</f>
        <v>0</v>
      </c>
      <c r="AC2" s="26">
        <f>MAX(1-NETWORKDAYS(计划内容!$N$2,计划内容!$N$2+COLUMN()-15)/NETWORKDAYS(计划内容!$N$2,计划内容!$P$2),0)*SUM($G$5:$G$23)</f>
        <v>0</v>
      </c>
      <c r="AD2" s="26">
        <f>MAX(1-NETWORKDAYS(计划内容!$N$2,计划内容!$N$2+COLUMN()-15)/NETWORKDAYS(计划内容!$N$2,计划内容!$P$2),0)*SUM($G$5:$G$23)</f>
        <v>0</v>
      </c>
      <c r="AE2" s="26">
        <f>MAX(1-NETWORKDAYS(计划内容!$N$2,计划内容!$N$2+COLUMN()-15)/NETWORKDAYS(计划内容!$N$2,计划内容!$P$2),0)*SUM($G$5:$G$23)</f>
        <v>0</v>
      </c>
      <c r="AF2" s="26">
        <f>MAX(1-NETWORKDAYS(计划内容!$N$2,计划内容!$N$2+COLUMN()-15)/NETWORKDAYS(计划内容!$N$2,计划内容!$P$2),0)*SUM($G$5:$G$23)</f>
        <v>0</v>
      </c>
      <c r="AG2" s="26">
        <f>MAX(1-NETWORKDAYS(计划内容!$N$2,计划内容!$N$2+COLUMN()-15)/NETWORKDAYS(计划内容!$N$2,计划内容!$P$2),0)*SUM($G$5:$G$23)</f>
        <v>0</v>
      </c>
      <c r="AH2" s="26">
        <f>MAX(1-NETWORKDAYS(计划内容!$N$2,计划内容!$N$2+COLUMN()-15)/NETWORKDAYS(计划内容!$N$2,计划内容!$P$2),0)*SUM($G$5:$G$23)</f>
        <v>0</v>
      </c>
      <c r="AI2" s="26">
        <f>MAX(1-NETWORKDAYS(计划内容!$N$2,计划内容!$N$2+COLUMN()-15)/NETWORKDAYS(计划内容!$N$2,计划内容!$P$2),0)*SUM($G$5:$G$23)</f>
        <v>0</v>
      </c>
      <c r="AJ2" s="26">
        <f>MAX(1-NETWORKDAYS(计划内容!$N$2,计划内容!$N$2+COLUMN()-15)/NETWORKDAYS(计划内容!$N$2,计划内容!$P$2),0)*SUM($G$5:$G$23)</f>
        <v>0</v>
      </c>
      <c r="AK2" s="26">
        <f>MAX(1-NETWORKDAYS(计划内容!$N$2,计划内容!$N$2+COLUMN()-15)/NETWORKDAYS(计划内容!$N$2,计划内容!$P$2),0)*SUM($G$5:$G$23)</f>
        <v>0</v>
      </c>
      <c r="AL2" s="26">
        <f>MAX(1-NETWORKDAYS(计划内容!$N$2,计划内容!$N$2+COLUMN()-15)/NETWORKDAYS(计划内容!$N$2,计划内容!$P$2),0)*SUM($G$5:$G$23)</f>
        <v>0</v>
      </c>
      <c r="AM2" s="26">
        <f>MAX(1-NETWORKDAYS(计划内容!$N$2,计划内容!$N$2+COLUMN()-15)/NETWORKDAYS(计划内容!$N$2,计划内容!$P$2),0)*SUM($G$5:$G$23)</f>
        <v>0</v>
      </c>
      <c r="AN2" s="26">
        <f>MAX(1-NETWORKDAYS(计划内容!$N$2,计划内容!$N$2+COLUMN()-15)/NETWORKDAYS(计划内容!$N$2,计划内容!$P$2),0)*SUM($G$5:$G$23)</f>
        <v>0</v>
      </c>
      <c r="AO2" s="26">
        <f>MAX(1-NETWORKDAYS(计划内容!$N$2,计划内容!$N$2+COLUMN()-15)/NETWORKDAYS(计划内容!$N$2,计划内容!$P$2),0)*SUM($G$5:$G$23)</f>
        <v>0</v>
      </c>
      <c r="AP2" s="26">
        <f>MAX(1-NETWORKDAYS(计划内容!$N$2,计划内容!$N$2+COLUMN()-15)/NETWORKDAYS(计划内容!$N$2,计划内容!$P$2),0)*SUM($G$5:$G$23)</f>
        <v>0</v>
      </c>
      <c r="AQ2" s="26">
        <f>MAX(1-NETWORKDAYS(计划内容!$N$2,计划内容!$N$2+COLUMN()-15)/NETWORKDAYS(计划内容!$N$2,计划内容!$P$2),0)*SUM($G$5:$G$23)</f>
        <v>0</v>
      </c>
      <c r="AR2" s="26">
        <f>MAX(1-NETWORKDAYS(计划内容!$N$2,计划内容!$N$2+COLUMN()-15)/NETWORKDAYS(计划内容!$N$2,计划内容!$P$2),0)*SUM($G$5:$G$23)</f>
        <v>0</v>
      </c>
      <c r="AS2" s="26">
        <f>MAX(1-NETWORKDAYS(计划内容!$N$2,计划内容!$N$2+COLUMN()-15)/NETWORKDAYS(计划内容!$N$2,计划内容!$P$2),0)*SUM($G$5:$G$23)</f>
        <v>0</v>
      </c>
      <c r="AT2" s="26">
        <f>MAX(1-NETWORKDAYS(计划内容!$N$2,计划内容!$N$2+COLUMN()-15)/NETWORKDAYS(计划内容!$N$2,计划内容!$P$2),0)*SUM($G$5:$G$23)</f>
        <v>0</v>
      </c>
      <c r="AU2" s="26">
        <f>MAX(1-NETWORKDAYS(计划内容!$N$2,计划内容!$N$2+COLUMN()-15)/NETWORKDAYS(计划内容!$N$2,计划内容!$P$2),0)*SUM($G$5:$G$23)</f>
        <v>0</v>
      </c>
      <c r="AV2" s="26">
        <f>MAX(1-NETWORKDAYS(计划内容!$N$2,计划内容!$N$2+COLUMN()-15)/NETWORKDAYS(计划内容!$N$2,计划内容!$P$2),0)*SUM($G$5:$G$23)</f>
        <v>0</v>
      </c>
      <c r="AW2" s="26">
        <f>MAX(1-NETWORKDAYS(计划内容!$N$2,计划内容!$N$2+COLUMN()-15)/NETWORKDAYS(计划内容!$N$2,计划内容!$P$2),0)*SUM($G$5:$G$23)</f>
        <v>0</v>
      </c>
      <c r="AX2" s="26">
        <f>MAX(1-NETWORKDAYS(计划内容!$N$2,计划内容!$N$2+COLUMN()-15)/NETWORKDAYS(计划内容!$N$2,计划内容!$P$2),0)*SUM($G$5:$G$23)</f>
        <v>0</v>
      </c>
      <c r="AY2" s="26">
        <f>MAX(1-NETWORKDAYS(计划内容!$N$2,计划内容!$N$2+COLUMN()-15)/NETWORKDAYS(计划内容!$N$2,计划内容!$P$2),0)*SUM($G$5:$G$23)</f>
        <v>0</v>
      </c>
      <c r="AZ2" s="26">
        <f>MAX(1-NETWORKDAYS(计划内容!$N$2,计划内容!$N$2+COLUMN()-15)/NETWORKDAYS(计划内容!$N$2,计划内容!$P$2),0)*SUM($G$5:$G$23)</f>
        <v>0</v>
      </c>
      <c r="BA2" s="26">
        <f>MAX(1-NETWORKDAYS(计划内容!$N$2,计划内容!$N$2+COLUMN()-15)/NETWORKDAYS(计划内容!$N$2,计划内容!$P$2),0)*SUM($G$5:$G$23)</f>
        <v>0</v>
      </c>
      <c r="BB2" s="26">
        <f>MAX(1-NETWORKDAYS(计划内容!$N$2,计划内容!$N$2+COLUMN()-15)/NETWORKDAYS(计划内容!$N$2,计划内容!$P$2),0)*SUM($G$5:$G$23)</f>
        <v>0</v>
      </c>
      <c r="BC2" s="26">
        <f>MAX(1-NETWORKDAYS(计划内容!$N$2,计划内容!$N$2+COLUMN()-15)/NETWORKDAYS(计划内容!$N$2,计划内容!$P$2),0)*SUM($G$5:$G$23)</f>
        <v>0</v>
      </c>
      <c r="BD2" s="26">
        <f>MAX(1-NETWORKDAYS(计划内容!$N$2,计划内容!$N$2+COLUMN()-15)/NETWORKDAYS(计划内容!$N$2,计划内容!$P$2),0)*SUM($G$5:$G$23)</f>
        <v>0</v>
      </c>
      <c r="BE2" s="26">
        <f>MAX(1-NETWORKDAYS(计划内容!$N$2,计划内容!$N$2+COLUMN()-15)/NETWORKDAYS(计划内容!$N$2,计划内容!$P$2),0)*SUM($G$5:$G$23)</f>
        <v>0</v>
      </c>
      <c r="BF2" s="26">
        <f>MAX(1-NETWORKDAYS(计划内容!$N$2,计划内容!$N$2+COLUMN()-15)/NETWORKDAYS(计划内容!$N$2,计划内容!$P$2),0)*SUM($G$5:$G$23)</f>
        <v>0</v>
      </c>
      <c r="BG2" s="26">
        <f>MAX(1-NETWORKDAYS(计划内容!$N$2,计划内容!$N$2+COLUMN()-15)/NETWORKDAYS(计划内容!$N$2,计划内容!$P$2),0)*SUM($G$5:$G$23)</f>
        <v>0</v>
      </c>
      <c r="BH2" s="26">
        <f>MAX(1-NETWORKDAYS(计划内容!$N$2,计划内容!$N$2+COLUMN()-15)/NETWORKDAYS(计划内容!$N$2,计划内容!$P$2),0)*SUM($G$5:$G$23)</f>
        <v>0</v>
      </c>
      <c r="BI2" s="26">
        <f>MAX(1-NETWORKDAYS(计划内容!$N$2,计划内容!$N$2+COLUMN()-15)/NETWORKDAYS(计划内容!$N$2,计划内容!$P$2),0)*SUM($G$5:$G$23)</f>
        <v>0</v>
      </c>
      <c r="BJ2" s="26">
        <f>MAX(1-NETWORKDAYS(计划内容!$N$2,计划内容!$N$2+COLUMN()-15)/NETWORKDAYS(计划内容!$N$2,计划内容!$P$2),0)*SUM($G$5:$G$23)</f>
        <v>0</v>
      </c>
      <c r="BK2" s="26">
        <f>MAX(1-NETWORKDAYS(计划内容!$N$2,计划内容!$N$2+COLUMN()-15)/NETWORKDAYS(计划内容!$N$2,计划内容!$P$2),0)*SUM($G$5:$G$23)</f>
        <v>0</v>
      </c>
      <c r="BL2" s="26">
        <f>MAX(1-NETWORKDAYS(计划内容!$N$2,计划内容!$N$2+COLUMN()-15)/NETWORKDAYS(计划内容!$N$2,计划内容!$P$2),0)*SUM($G$5:$G$23)</f>
        <v>0</v>
      </c>
      <c r="BM2" s="26">
        <f>MAX(1-NETWORKDAYS(计划内容!$N$2,计划内容!$N$2+COLUMN()-15)/NETWORKDAYS(计划内容!$N$2,计划内容!$P$2),0)*SUM($G$5:$G$23)</f>
        <v>0</v>
      </c>
      <c r="BN2" s="26">
        <f>MAX(1-NETWORKDAYS(计划内容!$N$2,计划内容!$N$2+COLUMN()-15)/NETWORKDAYS(计划内容!$N$2,计划内容!$P$2),0)*SUM($G$5:$G$23)</f>
        <v>0</v>
      </c>
    </row>
    <row r="3" spans="1:66" ht="11.25" customHeight="1" x14ac:dyDescent="0.15">
      <c r="B3" s="24"/>
      <c r="C3" s="117"/>
      <c r="D3" s="117"/>
      <c r="E3" s="117"/>
      <c r="F3" s="117"/>
      <c r="G3" s="117"/>
      <c r="H3" s="117"/>
      <c r="I3" s="117"/>
      <c r="J3" s="117"/>
      <c r="K3" s="118"/>
      <c r="M3" s="3">
        <v>2</v>
      </c>
      <c r="N3" s="3"/>
      <c r="O3" s="26">
        <f ca="1">IF(O$1="","",SUM($G$5:$G$23)-SUMIFS(人员动态!$C:$C,人员动态!$B:$B,"&gt;="&amp;计划内容!$N$2+1,人员动态!$B:$B,"&lt;"&amp;O$1+1))</f>
        <v>472</v>
      </c>
      <c r="P3" s="26">
        <f ca="1">IF(P$1="","",SUM($G$5:$G$23)-SUMIFS(人员动态!$C:$C,人员动态!$B:$B,"&gt;="&amp;计划内容!$O$2+1,人员动态!$B:$B,"&lt;"&amp;P$1+1))</f>
        <v>472</v>
      </c>
      <c r="Q3" s="26">
        <f ca="1">IF(Q$1="","",SUM($G$5:$G$23)-SUMIFS(人员动态!$C:$C,人员动态!$B:$B,"&gt;="&amp;计划内容!$O$2+1,人员动态!$B:$B,"&lt;"&amp;Q$1+1))</f>
        <v>472</v>
      </c>
      <c r="R3" s="26">
        <f ca="1">IF(R$1="","",SUM($G$5:$G$23)-SUMIFS(人员动态!$C:$C,人员动态!$B:$B,"&gt;="&amp;计划内容!$O$2+1,人员动态!$B:$B,"&lt;"&amp;R$1+1))</f>
        <v>472</v>
      </c>
      <c r="S3" s="26">
        <f ca="1">IF(S$1="","",SUM($G$5:$G$23)-SUMIFS(人员动态!$C:$C,人员动态!$B:$B,"&gt;="&amp;计划内容!$O$2+1,人员动态!$B:$B,"&lt;"&amp;S$1+1))</f>
        <v>472</v>
      </c>
      <c r="T3" s="26">
        <f ca="1">IF(T$1="","",SUM($G$5:$G$23)-SUMIFS(人员动态!$C:$C,人员动态!$B:$B,"&gt;="&amp;计划内容!$O$2+1,人员动态!$B:$B,"&lt;"&amp;T$1+1))</f>
        <v>472</v>
      </c>
      <c r="U3" s="26">
        <f ca="1">IF(U$1="","",SUM($G$5:$G$23)-SUMIFS(人员动态!$C:$C,人员动态!$B:$B,"&gt;="&amp;计划内容!$O$2+1,人员动态!$B:$B,"&lt;"&amp;U$1+1))</f>
        <v>472</v>
      </c>
      <c r="V3" s="26">
        <f ca="1">IF(V$1="","",SUM($G$5:$G$23)-SUMIFS(人员动态!$C:$C,人员动态!$B:$B,"&gt;="&amp;计划内容!$O$2+1,人员动态!$B:$B,"&lt;"&amp;V$1+1))</f>
        <v>472</v>
      </c>
      <c r="W3" s="26">
        <f ca="1">IF(W$1="","",SUM($G$5:$G$23)-SUMIFS(人员动态!$C:$C,人员动态!$B:$B,"&gt;="&amp;计划内容!$O$2+1,人员动态!$B:$B,"&lt;"&amp;W$1+1))</f>
        <v>472</v>
      </c>
      <c r="X3" s="26">
        <f ca="1">IF(X$1="","",SUM($G$5:$G$23)-SUMIFS(人员动态!$C:$C,人员动态!$B:$B,"&gt;="&amp;计划内容!$O$2+1,人员动态!$B:$B,"&lt;"&amp;X$1+1))</f>
        <v>472</v>
      </c>
      <c r="Y3" s="26">
        <f ca="1">IF(Y$1="","",SUM($G$5:$G$23)-SUMIFS(人员动态!$C:$C,人员动态!$B:$B,"&gt;="&amp;计划内容!$O$2+1,人员动态!$B:$B,"&lt;"&amp;Y$1+1))</f>
        <v>472</v>
      </c>
      <c r="Z3" s="26">
        <f ca="1">IF(Z$1="","",SUM($G$5:$G$23)-SUMIFS(人员动态!$C:$C,人员动态!$B:$B,"&gt;="&amp;计划内容!$O$2+1,人员动态!$B:$B,"&lt;"&amp;Z$1+1))</f>
        <v>472</v>
      </c>
      <c r="AA3" s="26">
        <f ca="1">IF(AA$1="","",SUM($G$5:$G$23)-SUMIFS(人员动态!$C:$C,人员动态!$B:$B,"&gt;="&amp;计划内容!$O$2+1,人员动态!$B:$B,"&lt;"&amp;AA$1+1))</f>
        <v>472</v>
      </c>
      <c r="AB3" s="26">
        <f ca="1">IF(AB$1="","",SUM($G$5:$G$23)-SUMIFS(人员动态!$C:$C,人员动态!$B:$B,"&gt;="&amp;计划内容!$O$2+1,人员动态!$B:$B,"&lt;"&amp;AB$1+1))</f>
        <v>472</v>
      </c>
      <c r="AC3" s="26">
        <f ca="1">IF(AC$1="","",SUM($G$5:$G$23)-SUMIFS(人员动态!$C:$C,人员动态!$B:$B,"&gt;="&amp;计划内容!$O$2+1,人员动态!$B:$B,"&lt;"&amp;AC$1+1))</f>
        <v>472</v>
      </c>
      <c r="AD3" s="26">
        <f ca="1">IF(AD$1="","",SUM($G$5:$G$23)-SUMIFS(人员动态!$C:$C,人员动态!$B:$B,"&gt;="&amp;计划内容!$O$2+1,人员动态!$B:$B,"&lt;"&amp;AD$1+1))</f>
        <v>472</v>
      </c>
      <c r="AE3" s="26">
        <f ca="1">IF(AE$1="","",SUM($G$5:$G$23)-SUMIFS(人员动态!$C:$C,人员动态!$B:$B,"&gt;="&amp;计划内容!$O$2+1,人员动态!$B:$B,"&lt;"&amp;AE$1+1))</f>
        <v>472</v>
      </c>
      <c r="AF3" s="26">
        <f ca="1">IF(AF$1="","",SUM($G$5:$G$23)-SUMIFS(人员动态!$C:$C,人员动态!$B:$B,"&gt;="&amp;计划内容!$O$2+1,人员动态!$B:$B,"&lt;"&amp;AF$1+1))</f>
        <v>472</v>
      </c>
      <c r="AG3" s="26">
        <f ca="1">IF(AG$1="","",SUM($G$5:$G$23)-SUMIFS(人员动态!$C:$C,人员动态!$B:$B,"&gt;="&amp;计划内容!$O$2+1,人员动态!$B:$B,"&lt;"&amp;AG$1+1))</f>
        <v>472</v>
      </c>
      <c r="AH3" s="26">
        <f ca="1">IF(AH$1="","",SUM($G$5:$G$23)-SUMIFS(人员动态!$C:$C,人员动态!$B:$B,"&gt;="&amp;计划内容!$O$2+1,人员动态!$B:$B,"&lt;"&amp;AH$1+1))</f>
        <v>472</v>
      </c>
      <c r="AI3" s="26">
        <f ca="1">IF(AI$1="","",SUM($G$5:$G$23)-SUMIFS(人员动态!$C:$C,人员动态!$B:$B,"&gt;="&amp;计划内容!$O$2+1,人员动态!$B:$B,"&lt;"&amp;AI$1+1))</f>
        <v>472</v>
      </c>
      <c r="AJ3" s="26">
        <f ca="1">IF(AJ$1="","",SUM($G$5:$G$23)-SUMIFS(人员动态!$C:$C,人员动态!$B:$B,"&gt;="&amp;计划内容!$O$2+1,人员动态!$B:$B,"&lt;"&amp;AJ$1+1))</f>
        <v>472</v>
      </c>
      <c r="AK3" s="26">
        <f ca="1">IF(AK$1="","",SUM($G$5:$G$23)-SUMIFS(人员动态!$C:$C,人员动态!$B:$B,"&gt;="&amp;计划内容!$O$2+1,人员动态!$B:$B,"&lt;"&amp;AK$1+1))</f>
        <v>472</v>
      </c>
      <c r="AL3" s="26">
        <f ca="1">IF(AL$1="","",SUM($G$5:$G$23)-SUMIFS(人员动态!$C:$C,人员动态!$B:$B,"&gt;="&amp;计划内容!$O$2+1,人员动态!$B:$B,"&lt;"&amp;AL$1+1))</f>
        <v>472</v>
      </c>
      <c r="AM3" s="26">
        <f ca="1">IF(AM$1="","",SUM($G$5:$G$23)-SUMIFS(人员动态!$C:$C,人员动态!$B:$B,"&gt;="&amp;计划内容!$O$2+1,人员动态!$B:$B,"&lt;"&amp;AM$1+1))</f>
        <v>472</v>
      </c>
      <c r="AN3" s="26">
        <f ca="1">IF(AN$1="","",SUM($G$5:$G$23)-SUMIFS(人员动态!$C:$C,人员动态!$B:$B,"&gt;="&amp;计划内容!$O$2+1,人员动态!$B:$B,"&lt;"&amp;AN$1+1))</f>
        <v>472</v>
      </c>
      <c r="AO3" s="26">
        <f ca="1">IF(AO$1="","",SUM($G$5:$G$23)-SUMIFS(人员动态!$C:$C,人员动态!$B:$B,"&gt;="&amp;计划内容!$O$2+1,人员动态!$B:$B,"&lt;"&amp;AO$1+1))</f>
        <v>472</v>
      </c>
      <c r="AP3" s="26">
        <f ca="1">IF(AP$1="","",SUM($G$5:$G$23)-SUMIFS(人员动态!$C:$C,人员动态!$B:$B,"&gt;="&amp;计划内容!$O$2+1,人员动态!$B:$B,"&lt;"&amp;AP$1+1))</f>
        <v>472</v>
      </c>
      <c r="AQ3" s="26">
        <f ca="1">IF(AQ$1="","",SUM($G$5:$G$23)-SUMIFS(人员动态!$C:$C,人员动态!$B:$B,"&gt;="&amp;计划内容!$O$2+1,人员动态!$B:$B,"&lt;"&amp;AQ$1+1))</f>
        <v>472</v>
      </c>
      <c r="AR3" s="26">
        <f ca="1">IF(AR$1="","",SUM($G$5:$G$23)-SUMIFS(人员动态!$C:$C,人员动态!$B:$B,"&gt;="&amp;计划内容!$O$2+1,人员动态!$B:$B,"&lt;"&amp;AR$1+1))</f>
        <v>472</v>
      </c>
      <c r="AS3" s="26">
        <f ca="1">IF(AS$1="","",SUM($G$5:$G$23)-SUMIFS(人员动态!$C:$C,人员动态!$B:$B,"&gt;="&amp;计划内容!$O$2+1,人员动态!$B:$B,"&lt;"&amp;AS$1+1))</f>
        <v>472</v>
      </c>
      <c r="AT3" s="26">
        <f ca="1">IF(AT$1="","",SUM($G$5:$G$23)-SUMIFS(人员动态!$C:$C,人员动态!$B:$B,"&gt;="&amp;计划内容!$O$2+1,人员动态!$B:$B,"&lt;"&amp;AT$1+1))</f>
        <v>472</v>
      </c>
      <c r="AU3" s="26">
        <f ca="1">IF(AU$1="","",SUM($G$5:$G$23)-SUMIFS(人员动态!$C:$C,人员动态!$B:$B,"&gt;="&amp;计划内容!$O$2+1,人员动态!$B:$B,"&lt;"&amp;AU$1+1))</f>
        <v>472</v>
      </c>
      <c r="AV3" s="26">
        <f ca="1">IF(AV$1="","",SUM($G$5:$G$23)-SUMIFS(人员动态!$C:$C,人员动态!$B:$B,"&gt;="&amp;计划内容!$O$2+1,人员动态!$B:$B,"&lt;"&amp;AV$1+1))</f>
        <v>472</v>
      </c>
      <c r="AW3" s="26">
        <f ca="1">IF(AW$1="","",SUM($G$5:$G$23)-SUMIFS(人员动态!$C:$C,人员动态!$B:$B,"&gt;="&amp;计划内容!$O$2+1,人员动态!$B:$B,"&lt;"&amp;AW$1+1))</f>
        <v>472</v>
      </c>
      <c r="AX3" s="26">
        <f ca="1">IF(AX$1="","",SUM($G$5:$G$23)-SUMIFS(人员动态!$C:$C,人员动态!$B:$B,"&gt;="&amp;计划内容!$O$2+1,人员动态!$B:$B,"&lt;"&amp;AX$1+1))</f>
        <v>472</v>
      </c>
      <c r="AY3" s="26">
        <f ca="1">IF(AY$1="","",SUM($G$5:$G$23)-SUMIFS(人员动态!$C:$C,人员动态!$B:$B,"&gt;="&amp;计划内容!$O$2+1,人员动态!$B:$B,"&lt;"&amp;AY$1+1))</f>
        <v>472</v>
      </c>
      <c r="AZ3" s="26">
        <f ca="1">IF(AZ$1="","",SUM($G$5:$G$23)-SUMIFS(人员动态!$C:$C,人员动态!$B:$B,"&gt;="&amp;计划内容!$O$2+1,人员动态!$B:$B,"&lt;"&amp;AZ$1+1))</f>
        <v>472</v>
      </c>
      <c r="BA3" s="26">
        <f ca="1">IF(BA$1="","",SUM($G$5:$G$23)-SUMIFS(人员动态!$C:$C,人员动态!$B:$B,"&gt;="&amp;计划内容!$O$2+1,人员动态!$B:$B,"&lt;"&amp;BA$1+1))</f>
        <v>472</v>
      </c>
      <c r="BB3" s="26">
        <f ca="1">IF(BB$1="","",SUM($G$5:$G$23)-SUMIFS(人员动态!$C:$C,人员动态!$B:$B,"&gt;="&amp;计划内容!$O$2+1,人员动态!$B:$B,"&lt;"&amp;BB$1+1))</f>
        <v>472</v>
      </c>
      <c r="BC3" s="26">
        <f ca="1">IF(BC$1="","",SUM($G$5:$G$23)-SUMIFS(人员动态!$C:$C,人员动态!$B:$B,"&gt;="&amp;计划内容!$O$2+1,人员动态!$B:$B,"&lt;"&amp;BC$1+1))</f>
        <v>472</v>
      </c>
      <c r="BD3" s="26">
        <f ca="1">IF(BD$1="","",SUM($G$5:$G$23)-SUMIFS(人员动态!$C:$C,人员动态!$B:$B,"&gt;="&amp;计划内容!$O$2+1,人员动态!$B:$B,"&lt;"&amp;BD$1+1))</f>
        <v>472</v>
      </c>
      <c r="BE3" s="26">
        <f ca="1">IF(BE$1="","",SUM($G$5:$G$23)-SUMIFS(人员动态!$C:$C,人员动态!$B:$B,"&gt;="&amp;计划内容!$O$2+1,人员动态!$B:$B,"&lt;"&amp;BE$1+1))</f>
        <v>472</v>
      </c>
      <c r="BF3" s="26">
        <f ca="1">IF(BF$1="","",SUM($G$5:$G$23)-SUMIFS(人员动态!$C:$C,人员动态!$B:$B,"&gt;="&amp;计划内容!$O$2+1,人员动态!$B:$B,"&lt;"&amp;BF$1+1))</f>
        <v>472</v>
      </c>
      <c r="BG3" s="26">
        <f ca="1">IF(BG$1="","",SUM($G$5:$G$23)-SUMIFS(人员动态!$C:$C,人员动态!$B:$B,"&gt;="&amp;计划内容!$O$2+1,人员动态!$B:$B,"&lt;"&amp;BG$1+1))</f>
        <v>472</v>
      </c>
      <c r="BH3" s="26">
        <f ca="1">IF(BH$1="","",SUM($G$5:$G$23)-SUMIFS(人员动态!$C:$C,人员动态!$B:$B,"&gt;="&amp;计划内容!$O$2+1,人员动态!$B:$B,"&lt;"&amp;BH$1+1))</f>
        <v>472</v>
      </c>
      <c r="BI3" s="26">
        <f ca="1">IF(BI$1="","",SUM($G$5:$G$23)-SUMIFS(人员动态!$C:$C,人员动态!$B:$B,"&gt;="&amp;计划内容!$O$2+1,人员动态!$B:$B,"&lt;"&amp;BI$1+1))</f>
        <v>472</v>
      </c>
      <c r="BJ3" s="26">
        <f ca="1">IF(BJ$1="","",SUM($G$5:$G$23)-SUMIFS(人员动态!$C:$C,人员动态!$B:$B,"&gt;="&amp;计划内容!$O$2+1,人员动态!$B:$B,"&lt;"&amp;BJ$1+1))</f>
        <v>472</v>
      </c>
      <c r="BK3" s="26">
        <f ca="1">IF(BK$1="","",SUM($G$5:$G$23)-SUMIFS(人员动态!$C:$C,人员动态!$B:$B,"&gt;="&amp;计划内容!$O$2+1,人员动态!$B:$B,"&lt;"&amp;BK$1+1))</f>
        <v>472</v>
      </c>
      <c r="BL3" s="26">
        <f ca="1">IF(BL$1="","",SUM($G$5:$G$23)-SUMIFS(人员动态!$C:$C,人员动态!$B:$B,"&gt;="&amp;计划内容!$O$2+1,人员动态!$B:$B,"&lt;"&amp;BL$1+1))</f>
        <v>472</v>
      </c>
      <c r="BM3" s="26">
        <f ca="1">IF(BM$1="","",SUM($G$5:$G$23)-SUMIFS(人员动态!$C:$C,人员动态!$B:$B,"&gt;="&amp;计划内容!$O$2+1,人员动态!$B:$B,"&lt;"&amp;BM$1+1))</f>
        <v>472</v>
      </c>
      <c r="BN3" s="26">
        <f ca="1">IF(BN$1="","",SUM($G$5:$G$23)-SUMIFS(人员动态!$C:$C,人员动态!$B:$B,"&gt;="&amp;计划内容!$O$2+1,人员动态!$B:$B,"&lt;"&amp;BN$1+1))</f>
        <v>472</v>
      </c>
    </row>
    <row r="4" spans="1:66" x14ac:dyDescent="0.15">
      <c r="A4" s="28" t="s">
        <v>19</v>
      </c>
      <c r="B4" s="29" t="s">
        <v>20</v>
      </c>
      <c r="C4" s="28" t="s">
        <v>8</v>
      </c>
      <c r="D4" s="29" t="s">
        <v>16</v>
      </c>
      <c r="E4" s="28" t="s">
        <v>24</v>
      </c>
      <c r="F4" s="28" t="s">
        <v>9</v>
      </c>
      <c r="G4" s="28" t="s">
        <v>7</v>
      </c>
      <c r="H4" s="28" t="s">
        <v>21</v>
      </c>
      <c r="I4" s="28" t="s">
        <v>22</v>
      </c>
      <c r="J4" s="28" t="s">
        <v>23</v>
      </c>
      <c r="K4" s="30" t="s">
        <v>51</v>
      </c>
      <c r="L4" s="28"/>
      <c r="M4" s="3">
        <v>3</v>
      </c>
      <c r="N4" s="3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66" x14ac:dyDescent="0.15">
      <c r="A5" s="15"/>
      <c r="B5" s="16">
        <v>43042.422997685186</v>
      </c>
      <c r="C5" s="17" t="s">
        <v>0</v>
      </c>
      <c r="D5" s="17" t="s">
        <v>25</v>
      </c>
      <c r="E5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5" s="17">
        <f>SUMIFS(工单表[原估时],工单表[责任人],表3[[#This Row],[人员]],工单表[优先级],"&lt;"&amp;8)</f>
        <v>18</v>
      </c>
      <c r="G5" s="17">
        <f>SUMIFS(工单表[新估时],工单表[责任人],表3[[#This Row],[人员]],工单表[优先级],"&lt;"&amp;8)</f>
        <v>18</v>
      </c>
      <c r="H5" s="18">
        <f>表3[[#This Row],[原估时]]/计划内容!$C$2</f>
        <v>0.22500000000000001</v>
      </c>
      <c r="I5" s="18">
        <f>表3[[#This Row],[新估时]]/计划内容!$C$2</f>
        <v>0.22500000000000001</v>
      </c>
      <c r="J5" s="18">
        <f>IFERROR(SUMIF(工单表[责任人],表3[[#This Row],[人员]],工单表[耗时])/表3[[#This Row],[新估时]],0)</f>
        <v>0</v>
      </c>
      <c r="K5" s="25">
        <f>ROUND(表3[[#This Row],[原估时]]*(1-表3[[#This Row],[总进度]]),0)</f>
        <v>18</v>
      </c>
      <c r="L5" s="21"/>
      <c r="M5" s="3">
        <v>4</v>
      </c>
      <c r="N5" s="3"/>
    </row>
    <row r="6" spans="1:66" x14ac:dyDescent="0.15">
      <c r="A6" s="15">
        <v>4</v>
      </c>
      <c r="B6" s="16">
        <v>43077.419537037036</v>
      </c>
      <c r="C6" s="17" t="s">
        <v>26</v>
      </c>
      <c r="D6" s="17" t="s">
        <v>25</v>
      </c>
      <c r="E6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6" s="17">
        <f>SUMIFS(工单表[原估时],工单表[责任人],表3[[#This Row],[人员]],工单表[优先级],"&lt;"&amp;8)</f>
        <v>61</v>
      </c>
      <c r="G6" s="17">
        <f>SUMIFS(工单表[新估时],工单表[责任人],表3[[#This Row],[人员]],工单表[优先级],"&lt;"&amp;8)</f>
        <v>55</v>
      </c>
      <c r="H6" s="18">
        <f>表3[[#This Row],[原估时]]/计划内容!$C$2</f>
        <v>0.76249999999999996</v>
      </c>
      <c r="I6" s="18">
        <f>表3[[#This Row],[新估时]]/计划内容!$C$2</f>
        <v>0.6875</v>
      </c>
      <c r="J6" s="18">
        <f>IFERROR(SUMIF(工单表[责任人],表3[[#This Row],[人员]],工单表[耗时])/表3[[#This Row],[新估时]],0)</f>
        <v>0.27272727272727271</v>
      </c>
      <c r="K6" s="25">
        <f>ROUND(表3[[#This Row],[原估时]]*(1-表3[[#This Row],[总进度]]),0)</f>
        <v>44</v>
      </c>
      <c r="L6" s="21"/>
      <c r="M6" s="3">
        <v>5</v>
      </c>
      <c r="N6" s="3"/>
    </row>
    <row r="7" spans="1:66" x14ac:dyDescent="0.15">
      <c r="A7" s="15"/>
      <c r="B7" s="16">
        <v>43060.392141203702</v>
      </c>
      <c r="C7" s="17" t="s">
        <v>44</v>
      </c>
      <c r="D7" s="19" t="s">
        <v>45</v>
      </c>
      <c r="E7" s="32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7" s="17">
        <f>SUMIFS(工单表[原估时],工单表[责任人],表3[[#This Row],[人员]],工单表[优先级],"&lt;"&amp;8)</f>
        <v>32</v>
      </c>
      <c r="G7" s="17">
        <f>SUMIFS(工单表[新估时],工单表[责任人],表3[[#This Row],[人员]],工单表[优先级],"&lt;"&amp;8)</f>
        <v>32</v>
      </c>
      <c r="H7" s="18">
        <f>表3[[#This Row],[原估时]]/计划内容!$C$2</f>
        <v>0.4</v>
      </c>
      <c r="I7" s="18">
        <f>表3[[#This Row],[新估时]]/计划内容!$C$2</f>
        <v>0.4</v>
      </c>
      <c r="J7" s="18">
        <f>IFERROR(SUMIF(工单表[责任人],表3[[#This Row],[人员]],工单表[耗时])/表3[[#This Row],[新估时]],0)</f>
        <v>0</v>
      </c>
      <c r="K7" s="25">
        <f>ROUND(表3[[#This Row],[原估时]]*(1-表3[[#This Row],[总进度]]),0)</f>
        <v>32</v>
      </c>
      <c r="L7" s="21"/>
      <c r="M7" s="3">
        <v>6</v>
      </c>
      <c r="N7" s="3"/>
    </row>
    <row r="8" spans="1:66" x14ac:dyDescent="0.15">
      <c r="A8" s="15"/>
      <c r="B8" s="16">
        <v>43073.396215277775</v>
      </c>
      <c r="C8" s="17" t="s">
        <v>10</v>
      </c>
      <c r="D8" s="17" t="s">
        <v>27</v>
      </c>
      <c r="E8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8" s="17">
        <f>SUMIFS(工单表[原估时],工单表[责任人],表3[[#This Row],[人员]],工单表[优先级],"&lt;"&amp;8)</f>
        <v>61</v>
      </c>
      <c r="G8" s="17">
        <f>SUMIFS(工单表[新估时],工单表[责任人],表3[[#This Row],[人员]],工单表[优先级],"&lt;"&amp;8)</f>
        <v>61</v>
      </c>
      <c r="H8" s="18">
        <f>表3[[#This Row],[原估时]]/计划内容!$C$2</f>
        <v>0.76249999999999996</v>
      </c>
      <c r="I8" s="18">
        <f>表3[[#This Row],[新估时]]/计划内容!$C$2</f>
        <v>0.76249999999999996</v>
      </c>
      <c r="J8" s="18">
        <f>IFERROR(SUMIF(工单表[责任人],表3[[#This Row],[人员]],工单表[耗时])/表3[[#This Row],[新估时]],0)</f>
        <v>0</v>
      </c>
      <c r="K8" s="25">
        <f>ROUND(表3[[#This Row],[原估时]]*(1-表3[[#This Row],[总进度]]),0)</f>
        <v>61</v>
      </c>
      <c r="L8" s="21"/>
      <c r="M8" s="3">
        <v>7</v>
      </c>
      <c r="N8" s="3"/>
    </row>
    <row r="9" spans="1:66" x14ac:dyDescent="0.15">
      <c r="A9" s="15"/>
      <c r="B9" s="16">
        <v>43062.666250000002</v>
      </c>
      <c r="C9" s="17" t="s">
        <v>13</v>
      </c>
      <c r="D9" s="17" t="s">
        <v>27</v>
      </c>
      <c r="E9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9" s="17">
        <f>SUMIFS(工单表[原估时],工单表[责任人],表3[[#This Row],[人员]],工单表[优先级],"&lt;"&amp;8)</f>
        <v>126</v>
      </c>
      <c r="G9" s="17">
        <f>SUMIFS(工单表[新估时],工单表[责任人],表3[[#This Row],[人员]],工单表[优先级],"&lt;"&amp;8)</f>
        <v>126</v>
      </c>
      <c r="H9" s="18">
        <f>表3[[#This Row],[原估时]]/计划内容!$C$2</f>
        <v>1.575</v>
      </c>
      <c r="I9" s="18">
        <f>表3[[#This Row],[新估时]]/计划内容!$C$2</f>
        <v>1.575</v>
      </c>
      <c r="J9" s="18">
        <f>IFERROR(SUMIF(工单表[责任人],表3[[#This Row],[人员]],工单表[耗时])/表3[[#This Row],[新估时]],0)</f>
        <v>3.1746031746031744E-2</v>
      </c>
      <c r="K9" s="25">
        <f>ROUND(表3[[#This Row],[原估时]]*(1-表3[[#This Row],[总进度]]),0)</f>
        <v>122</v>
      </c>
      <c r="L9" s="21"/>
      <c r="M9" s="3">
        <v>8</v>
      </c>
      <c r="N9" s="3"/>
    </row>
    <row r="10" spans="1:66" x14ac:dyDescent="0.15">
      <c r="A10" s="15"/>
      <c r="B10" s="16">
        <v>43059.52244212963</v>
      </c>
      <c r="C10" s="17" t="s">
        <v>14</v>
      </c>
      <c r="D10" s="17" t="s">
        <v>37</v>
      </c>
      <c r="E10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10" s="17">
        <f>SUMIFS(工单表[原估时],工单表[责任人],表3[[#This Row],[人员]],工单表[优先级],"&lt;"&amp;8)</f>
        <v>23</v>
      </c>
      <c r="G10" s="17">
        <f>SUMIFS(工单表[新估时],工单表[责任人],表3[[#This Row],[人员]],工单表[优先级],"&lt;"&amp;8)</f>
        <v>23</v>
      </c>
      <c r="H10" s="18">
        <f>表3[[#This Row],[原估时]]/计划内容!$C$2</f>
        <v>0.28749999999999998</v>
      </c>
      <c r="I10" s="18">
        <f>表3[[#This Row],[新估时]]/计划内容!$C$2</f>
        <v>0.28749999999999998</v>
      </c>
      <c r="J10" s="18">
        <f>IFERROR(SUMIF(工单表[责任人],表3[[#This Row],[人员]],工单表[耗时])/表3[[#This Row],[新估时]],0)</f>
        <v>0</v>
      </c>
      <c r="K10" s="25">
        <f>ROUND(表3[[#This Row],[原估时]]*(1-表3[[#This Row],[总进度]]),0)</f>
        <v>23</v>
      </c>
      <c r="L10" s="21"/>
      <c r="M10" s="20">
        <v>9</v>
      </c>
      <c r="N10" s="3"/>
    </row>
    <row r="11" spans="1:66" x14ac:dyDescent="0.15">
      <c r="A11" s="15"/>
      <c r="B11" s="16">
        <v>43066.405532407407</v>
      </c>
      <c r="C11" s="17" t="s">
        <v>28</v>
      </c>
      <c r="D11" s="17" t="s">
        <v>29</v>
      </c>
      <c r="E11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11" s="17">
        <f>SUMIFS(工单表[原估时],工单表[责任人],表3[[#This Row],[人员]],工单表[优先级],"&lt;"&amp;8)</f>
        <v>0</v>
      </c>
      <c r="G11" s="17">
        <f>SUMIFS(工单表[新估时],工单表[责任人],表3[[#This Row],[人员]],工单表[优先级],"&lt;"&amp;8)</f>
        <v>0</v>
      </c>
      <c r="H11" s="18">
        <f>表3[[#This Row],[原估时]]/计划内容!$C$2</f>
        <v>0</v>
      </c>
      <c r="I11" s="18">
        <f>表3[[#This Row],[新估时]]/计划内容!$C$2</f>
        <v>0</v>
      </c>
      <c r="J11" s="18">
        <f>IFERROR(SUMIF(工单表[责任人],表3[[#This Row],[人员]],工单表[耗时])/表3[[#This Row],[新估时]],0)</f>
        <v>0</v>
      </c>
      <c r="K11" s="25">
        <f>ROUND(表3[[#This Row],[原估时]]*(1-表3[[#This Row],[总进度]]),0)</f>
        <v>0</v>
      </c>
      <c r="L11" s="21"/>
      <c r="M11" s="20"/>
      <c r="N11" s="2"/>
      <c r="P11" s="3"/>
    </row>
    <row r="12" spans="1:66" x14ac:dyDescent="0.15">
      <c r="A12" s="15"/>
      <c r="B12" s="16">
        <v>43070.600289351853</v>
      </c>
      <c r="C12" s="17" t="s">
        <v>15</v>
      </c>
      <c r="D12" s="17" t="s">
        <v>30</v>
      </c>
      <c r="E12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12" s="17">
        <f>SUMIFS(工单表[原估时],工单表[责任人],表3[[#This Row],[人员]],工单表[优先级],"&lt;"&amp;8)</f>
        <v>43</v>
      </c>
      <c r="G12" s="17">
        <f>SUMIFS(工单表[新估时],工单表[责任人],表3[[#This Row],[人员]],工单表[优先级],"&lt;"&amp;8)</f>
        <v>43</v>
      </c>
      <c r="H12" s="18">
        <f>表3[[#This Row],[原估时]]/计划内容!$C$2</f>
        <v>0.53749999999999998</v>
      </c>
      <c r="I12" s="18">
        <f>表3[[#This Row],[新估时]]/计划内容!$C$2</f>
        <v>0.53749999999999998</v>
      </c>
      <c r="J12" s="18">
        <f>IFERROR(SUMIF(工单表[责任人],表3[[#This Row],[人员]],工单表[耗时])/表3[[#This Row],[新估时]],0)</f>
        <v>0</v>
      </c>
      <c r="K12" s="25">
        <f>ROUND(表3[[#This Row],[原估时]]*(1-表3[[#This Row],[总进度]]),0)</f>
        <v>43</v>
      </c>
      <c r="L12" s="21"/>
    </row>
    <row r="13" spans="1:66" x14ac:dyDescent="0.15">
      <c r="A13" s="15"/>
      <c r="B13" s="16">
        <v>43042.611157407409</v>
      </c>
      <c r="C13" s="17" t="s">
        <v>12</v>
      </c>
      <c r="D13" s="17" t="s">
        <v>31</v>
      </c>
      <c r="E13" s="17">
        <f ca="1">SUMIFS(人员动态!$C:$C,人员动态!$A:$A,表3[[#This Row],[人员]],人员动态!$B:$B,"&gt;"&amp;YEAR(NOW())&amp;"/"&amp;MONTH(NOW())&amp;"/"&amp;DAY(NOW())-1,人员动态!$B:$B,"&lt;"&amp;YEAR(NOW())&amp;"/"&amp;MONTH(NOW())&amp;"/"&amp;DAY(NOW()))</f>
        <v>0</v>
      </c>
      <c r="F13" s="17">
        <f>SUMIFS(工单表[原估时],工单表[责任人],表3[[#This Row],[人员]],工单表[优先级],"&lt;"&amp;8)</f>
        <v>114</v>
      </c>
      <c r="G13" s="17">
        <f>SUMIFS(工单表[新估时],工单表[责任人],表3[[#This Row],[人员]],工单表[优先级],"&lt;"&amp;8)</f>
        <v>114</v>
      </c>
      <c r="H13" s="18">
        <f>表3[[#This Row],[原估时]]/计划内容!$C$2</f>
        <v>1.425</v>
      </c>
      <c r="I13" s="18">
        <f>表3[[#This Row],[新估时]]/计划内容!$C$2</f>
        <v>1.425</v>
      </c>
      <c r="J13" s="18">
        <f>IFERROR(SUMIF(工单表[责任人],表3[[#This Row],[人员]],工单表[耗时])/表3[[#This Row],[新估时]],0)</f>
        <v>0</v>
      </c>
      <c r="K13" s="25">
        <f>ROUND(表3[[#This Row],[原估时]]*(1-表3[[#This Row],[总进度]]),0)</f>
        <v>114</v>
      </c>
      <c r="L13" s="21"/>
    </row>
    <row r="14" spans="1:66" x14ac:dyDescent="0.15">
      <c r="A14" s="15"/>
      <c r="B14" s="16"/>
      <c r="C14" s="17"/>
      <c r="D14" s="19"/>
      <c r="E14" s="17"/>
      <c r="F14" s="17">
        <f>SUMIFS(工单表[原估时],工单表[责任人],表3[[#This Row],[人员]],工单表[优先级],"&lt;"&amp;8)</f>
        <v>0</v>
      </c>
      <c r="G14" s="17">
        <f>SUMIFS(工单表[新估时],工单表[责任人],表3[[#This Row],[人员]],工单表[优先级],"&lt;"&amp;8)</f>
        <v>0</v>
      </c>
      <c r="H14" s="18">
        <f>表3[[#This Row],[原估时]]/计划内容!$C$2</f>
        <v>0</v>
      </c>
      <c r="I14" s="18">
        <f>表3[[#This Row],[新估时]]/计划内容!$C$2</f>
        <v>0</v>
      </c>
      <c r="J14" s="18"/>
      <c r="K14" s="25">
        <f>ROUND(表3[[#This Row],[原估时]]*(1-表3[[#This Row],[总进度]]),0)</f>
        <v>0</v>
      </c>
    </row>
    <row r="15" spans="1:66" x14ac:dyDescent="0.15">
      <c r="A15" s="15"/>
      <c r="B15" s="16"/>
      <c r="C15" s="17"/>
      <c r="D15" s="19"/>
      <c r="E15" s="19"/>
      <c r="F15" s="21"/>
      <c r="G15" s="21"/>
      <c r="H15" s="18"/>
      <c r="I15" s="18"/>
      <c r="J15" s="18"/>
      <c r="K15" s="25"/>
    </row>
    <row r="16" spans="1:66" x14ac:dyDescent="0.15">
      <c r="A16" s="15"/>
      <c r="B16" s="16"/>
      <c r="C16" s="17"/>
      <c r="D16" s="19"/>
      <c r="E16" s="19"/>
      <c r="F16" s="21"/>
      <c r="G16" s="21"/>
      <c r="H16" s="18"/>
      <c r="I16" s="18"/>
      <c r="J16" s="18"/>
      <c r="K16" s="25"/>
    </row>
    <row r="17" spans="1:11" x14ac:dyDescent="0.15">
      <c r="A17" s="15"/>
      <c r="B17" s="16"/>
      <c r="C17" s="17"/>
      <c r="D17" s="19"/>
      <c r="E17" s="19"/>
      <c r="F17" s="21"/>
      <c r="G17" s="21"/>
      <c r="H17" s="18"/>
      <c r="I17" s="18"/>
      <c r="J17" s="18"/>
      <c r="K17" s="25"/>
    </row>
    <row r="18" spans="1:11" x14ac:dyDescent="0.15">
      <c r="A18" s="15"/>
      <c r="B18" s="16"/>
      <c r="C18" s="17"/>
      <c r="D18" s="19"/>
      <c r="E18" s="19"/>
      <c r="F18" s="21"/>
      <c r="G18" s="21"/>
      <c r="H18" s="18"/>
      <c r="I18" s="18"/>
      <c r="J18" s="18"/>
      <c r="K18" s="25"/>
    </row>
    <row r="19" spans="1:11" x14ac:dyDescent="0.15">
      <c r="A19" s="15"/>
      <c r="B19" s="16"/>
      <c r="C19" s="17"/>
      <c r="D19" s="19"/>
      <c r="E19" s="19"/>
      <c r="F19" s="21"/>
      <c r="G19" s="21"/>
      <c r="H19" s="18"/>
      <c r="I19" s="18"/>
      <c r="J19" s="18"/>
      <c r="K19" s="25"/>
    </row>
    <row r="20" spans="1:11" x14ac:dyDescent="0.15">
      <c r="A20" s="15"/>
      <c r="B20" s="16"/>
      <c r="C20" s="17"/>
      <c r="D20" s="19"/>
      <c r="E20" s="19"/>
      <c r="F20" s="21"/>
      <c r="G20" s="21"/>
      <c r="H20" s="18"/>
      <c r="I20" s="18"/>
      <c r="J20" s="18"/>
      <c r="K20" s="27"/>
    </row>
    <row r="21" spans="1:11" x14ac:dyDescent="0.15">
      <c r="A21" s="15"/>
      <c r="B21" s="16"/>
      <c r="C21" s="17"/>
      <c r="D21" s="19"/>
      <c r="E21" s="19"/>
      <c r="F21" s="21"/>
      <c r="G21" s="21"/>
      <c r="H21" s="18"/>
      <c r="I21" s="18"/>
      <c r="J21" s="18"/>
      <c r="K21" s="25"/>
    </row>
    <row r="22" spans="1:11" x14ac:dyDescent="0.15">
      <c r="A22" s="15"/>
      <c r="B22" s="16"/>
      <c r="C22" s="17"/>
      <c r="D22" s="19"/>
      <c r="E22" s="19"/>
      <c r="F22" s="21"/>
      <c r="G22" s="21"/>
      <c r="H22" s="18"/>
      <c r="I22" s="18"/>
      <c r="J22" s="18"/>
      <c r="K22" s="25"/>
    </row>
    <row r="23" spans="1:11" x14ac:dyDescent="0.15">
      <c r="A23" s="15"/>
      <c r="B23" s="16"/>
      <c r="C23" s="17"/>
      <c r="D23" s="19"/>
      <c r="E23" s="19"/>
      <c r="F23" s="21"/>
      <c r="G23" s="21"/>
      <c r="H23" s="18"/>
      <c r="I23" s="18"/>
      <c r="J23" s="18"/>
      <c r="K23" s="25"/>
    </row>
    <row r="24" spans="1:11" x14ac:dyDescent="0.15">
      <c r="A24" s="15"/>
      <c r="B24" s="16"/>
      <c r="C24" s="17"/>
      <c r="D24" s="19"/>
      <c r="E24" s="19"/>
      <c r="F24" s="21"/>
      <c r="G24" s="21"/>
      <c r="H24" s="18"/>
      <c r="I24" s="18"/>
      <c r="J24" s="18"/>
      <c r="K24" s="25"/>
    </row>
    <row r="25" spans="1:11" x14ac:dyDescent="0.15">
      <c r="A25" s="15"/>
      <c r="B25" s="16"/>
      <c r="C25" s="17"/>
      <c r="D25" s="19"/>
      <c r="E25" s="19"/>
      <c r="F25" s="21"/>
      <c r="G25" s="21"/>
      <c r="H25" s="18"/>
      <c r="I25" s="18"/>
      <c r="J25" s="18"/>
      <c r="K25" s="25"/>
    </row>
    <row r="26" spans="1:11" x14ac:dyDescent="0.15">
      <c r="A26" s="15"/>
      <c r="B26" s="16"/>
      <c r="C26" s="17"/>
      <c r="D26" s="19"/>
      <c r="E26" s="19"/>
      <c r="F26" s="21"/>
      <c r="G26" s="21"/>
      <c r="H26" s="18"/>
      <c r="I26" s="18"/>
      <c r="J26" s="18"/>
      <c r="K26" s="25"/>
    </row>
    <row r="27" spans="1:11" x14ac:dyDescent="0.15">
      <c r="A27" s="15"/>
      <c r="B27" s="16"/>
      <c r="C27" s="17"/>
      <c r="D27" s="19"/>
      <c r="E27" s="19"/>
      <c r="F27" s="21"/>
      <c r="G27" s="21"/>
      <c r="H27" s="18"/>
      <c r="I27" s="18"/>
      <c r="J27" s="18"/>
      <c r="K27" s="25"/>
    </row>
    <row r="28" spans="1:11" x14ac:dyDescent="0.15">
      <c r="A28" s="15"/>
      <c r="B28" s="16"/>
      <c r="C28" s="17"/>
      <c r="D28" s="19"/>
      <c r="E28" s="19"/>
      <c r="F28" s="21"/>
      <c r="G28" s="21"/>
      <c r="H28" s="18"/>
      <c r="I28" s="18"/>
      <c r="J28" s="18"/>
      <c r="K28" s="25"/>
    </row>
  </sheetData>
  <sheetProtection sheet="1" formatCells="0" deleteRows="0" autoFilter="0"/>
  <mergeCells count="1">
    <mergeCell ref="C1:K3"/>
  </mergeCells>
  <phoneticPr fontId="3" type="noConversion"/>
  <conditionalFormatting sqref="J5:J14">
    <cfRule type="dataBar" priority="1">
      <dataBar>
        <cfvo type="num" val="0"/>
        <cfvo type="num" val="1"/>
        <color rgb="FFFC6CD6"/>
      </dataBar>
      <extLst>
        <ext xmlns:x14="http://schemas.microsoft.com/office/spreadsheetml/2009/9/main" uri="{B025F937-C7B1-47D3-B67F-A62EFF666E3E}">
          <x14:id>{A68AA065-885E-4ABA-8CD2-F389D852A395}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AA065-885E-4ABA-8CD2-F389D852A3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J5:J14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59"/>
  <sheetViews>
    <sheetView tabSelected="1" zoomScaleNormal="100" workbookViewId="0">
      <pane ySplit="5" topLeftCell="A6" activePane="bottomLeft" state="frozenSplit"/>
      <selection pane="bottomLeft" activeCell="B4" sqref="B4:C4"/>
    </sheetView>
  </sheetViews>
  <sheetFormatPr defaultColWidth="7.125" defaultRowHeight="24.75" customHeight="1" x14ac:dyDescent="0.15"/>
  <cols>
    <col min="1" max="1" width="0.75" style="34" customWidth="1"/>
    <col min="2" max="2" width="7.375" style="47" customWidth="1"/>
    <col min="3" max="3" width="5" style="47" customWidth="1"/>
    <col min="4" max="4" width="46.875" style="47" customWidth="1"/>
    <col min="5" max="5" width="3.875" style="47" customWidth="1"/>
    <col min="6" max="6" width="4.25" style="47" customWidth="1"/>
    <col min="7" max="7" width="4.5" style="81" customWidth="1"/>
    <col min="8" max="8" width="5.25" style="47" customWidth="1"/>
    <col min="9" max="9" width="4.375" style="47" customWidth="1"/>
    <col min="10" max="11" width="4" style="47" customWidth="1"/>
    <col min="12" max="12" width="5.75" style="47" customWidth="1"/>
    <col min="13" max="13" width="5.5" style="47" customWidth="1"/>
    <col min="14" max="14" width="28.75" style="47" customWidth="1"/>
    <col min="15" max="15" width="5.625" style="47" customWidth="1"/>
    <col min="16" max="16" width="39.25" style="47" customWidth="1"/>
    <col min="17" max="17" width="5.125" style="47" customWidth="1"/>
    <col min="18" max="18" width="11.5" style="47" customWidth="1"/>
    <col min="19" max="19" width="10.25" style="82" customWidth="1"/>
    <col min="20" max="16384" width="7.125" style="47"/>
  </cols>
  <sheetData>
    <row r="1" spans="1:19" s="34" customFormat="1" ht="6.75" customHeight="1" x14ac:dyDescent="0.15">
      <c r="A1" s="34">
        <v>1</v>
      </c>
      <c r="B1" s="35">
        <v>43004.65353009259</v>
      </c>
      <c r="C1" s="34">
        <f>MAX(工单表[工单])</f>
        <v>4096</v>
      </c>
      <c r="E1" s="34">
        <v>6</v>
      </c>
      <c r="G1" s="36"/>
      <c r="S1" s="37"/>
    </row>
    <row r="2" spans="1:19" ht="13.5" customHeight="1" x14ac:dyDescent="0.15">
      <c r="B2" s="38" t="s">
        <v>17</v>
      </c>
      <c r="C2" s="39">
        <f>10*8</f>
        <v>80</v>
      </c>
      <c r="D2" s="40" t="s">
        <v>34</v>
      </c>
      <c r="E2" s="119" t="s">
        <v>32</v>
      </c>
      <c r="F2" s="120"/>
      <c r="G2" s="41">
        <f>COUNTA(工单表[任务描述])</f>
        <v>96</v>
      </c>
      <c r="H2" s="119" t="s">
        <v>33</v>
      </c>
      <c r="I2" s="120"/>
      <c r="J2" s="121">
        <f>COUNTA(人员动态!A:A)</f>
        <v>4</v>
      </c>
      <c r="K2" s="122"/>
      <c r="L2" s="125">
        <f ca="1">MIN(NETWORKDAYS(N2,NOW())/NETWORKDAYS(N2,P2),1)</f>
        <v>1</v>
      </c>
      <c r="M2" s="125"/>
      <c r="N2" s="42">
        <v>43080</v>
      </c>
      <c r="O2" s="43" t="s">
        <v>35</v>
      </c>
      <c r="P2" s="44">
        <v>43091</v>
      </c>
      <c r="Q2" s="44"/>
      <c r="R2" s="45"/>
      <c r="S2" s="46"/>
    </row>
    <row r="3" spans="1:19" ht="3" customHeight="1" thickBot="1" x14ac:dyDescent="0.2">
      <c r="B3" s="48"/>
      <c r="C3" s="49"/>
      <c r="D3" s="50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2"/>
      <c r="Q3" s="34"/>
      <c r="R3" s="34"/>
      <c r="S3" s="34"/>
    </row>
    <row r="4" spans="1:19" ht="16.5" customHeight="1" thickBot="1" x14ac:dyDescent="0.2">
      <c r="B4" s="123" t="s">
        <v>41</v>
      </c>
      <c r="C4" s="124"/>
      <c r="D4" s="126">
        <f>IFERROR(SUMPRODUCT(工单表[进度],工单表[新估时])/SUM(工单表[新估时]),0)</f>
        <v>3.1045751633986929E-2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8"/>
      <c r="S4" s="53"/>
    </row>
    <row r="5" spans="1:19" s="59" customFormat="1" ht="24.75" customHeight="1" x14ac:dyDescent="0.15">
      <c r="A5" s="54"/>
      <c r="B5" s="55" t="s">
        <v>4</v>
      </c>
      <c r="C5" s="55" t="s">
        <v>18</v>
      </c>
      <c r="D5" s="56" t="s">
        <v>1</v>
      </c>
      <c r="E5" s="57" t="s">
        <v>16</v>
      </c>
      <c r="F5" s="55" t="s">
        <v>6</v>
      </c>
      <c r="G5" s="55" t="s">
        <v>9</v>
      </c>
      <c r="H5" s="55" t="s">
        <v>2</v>
      </c>
      <c r="I5" s="55" t="s">
        <v>7</v>
      </c>
      <c r="J5" s="55" t="s">
        <v>3</v>
      </c>
      <c r="K5" s="55" t="s">
        <v>40</v>
      </c>
      <c r="L5" s="55" t="s">
        <v>38</v>
      </c>
      <c r="M5" s="55" t="s">
        <v>39</v>
      </c>
      <c r="N5" s="57" t="s">
        <v>5</v>
      </c>
      <c r="O5" s="57" t="s">
        <v>46</v>
      </c>
      <c r="P5" s="57" t="s">
        <v>47</v>
      </c>
      <c r="Q5" s="57" t="s">
        <v>48</v>
      </c>
      <c r="R5" s="55" t="s">
        <v>49</v>
      </c>
      <c r="S5" s="58" t="s">
        <v>43</v>
      </c>
    </row>
    <row r="6" spans="1:19" ht="20.25" x14ac:dyDescent="0.15">
      <c r="B6" s="107">
        <v>4001</v>
      </c>
      <c r="C6" s="85" t="s">
        <v>0</v>
      </c>
      <c r="D6" s="109" t="s">
        <v>60</v>
      </c>
      <c r="E6" s="60" t="str">
        <f>IFERROR(VLOOKUP(工单表[[#This Row],[责任人]],表3[[人员]:[岗位]],2,FALSE),"")</f>
        <v>后端</v>
      </c>
      <c r="F6" s="71">
        <v>1</v>
      </c>
      <c r="G6" s="85">
        <v>2</v>
      </c>
      <c r="H6" s="103">
        <v>43091</v>
      </c>
      <c r="I6" s="85">
        <v>2</v>
      </c>
      <c r="J6" s="104"/>
      <c r="K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" s="85"/>
      <c r="M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" s="65"/>
      <c r="O6" s="73"/>
      <c r="P6" s="67"/>
      <c r="Q6" s="63"/>
      <c r="R6" s="79">
        <v>43077.679259259261</v>
      </c>
      <c r="S6" s="69"/>
    </row>
    <row r="7" spans="1:19" ht="24.75" customHeight="1" x14ac:dyDescent="0.15">
      <c r="B7" s="107">
        <v>4002</v>
      </c>
      <c r="C7" s="105" t="s">
        <v>12</v>
      </c>
      <c r="D7" s="111" t="s">
        <v>61</v>
      </c>
      <c r="E7" s="60" t="str">
        <f>IFERROR(VLOOKUP(工单表[[#This Row],[责任人]],表3[[人员]:[岗位]],2,FALSE),"")</f>
        <v>策划</v>
      </c>
      <c r="F7" s="61">
        <v>1</v>
      </c>
      <c r="G7" s="105">
        <v>16</v>
      </c>
      <c r="H7" s="103">
        <v>43091</v>
      </c>
      <c r="I7" s="105">
        <v>16</v>
      </c>
      <c r="J7" s="106"/>
      <c r="K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" s="88"/>
      <c r="M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" s="72"/>
      <c r="O7" s="75"/>
      <c r="P7" s="74"/>
      <c r="Q7" s="70"/>
      <c r="R7" s="79">
        <v>43077.679259259261</v>
      </c>
      <c r="S7" s="69"/>
    </row>
    <row r="8" spans="1:19" ht="24.75" customHeight="1" x14ac:dyDescent="0.15">
      <c r="B8" s="107">
        <v>4003</v>
      </c>
      <c r="C8" s="105" t="s">
        <v>13</v>
      </c>
      <c r="D8" s="111" t="s">
        <v>62</v>
      </c>
      <c r="E8" s="60" t="str">
        <f>IFERROR(VLOOKUP(工单表[[#This Row],[责任人]],表3[[人员]:[岗位]],2,FALSE),"")</f>
        <v>前端</v>
      </c>
      <c r="F8" s="61">
        <v>1</v>
      </c>
      <c r="G8" s="105">
        <v>4</v>
      </c>
      <c r="H8" s="103">
        <v>43091</v>
      </c>
      <c r="I8" s="105">
        <v>4</v>
      </c>
      <c r="J8" s="106">
        <v>4</v>
      </c>
      <c r="K8" s="62">
        <f>IF(工单表[[#This Row],[验收备注]]="已关闭",1,IFERROR(工单表[[#This Row],[耗时]]/IF(工单表[[#This Row],[新估时]]&gt;0,工单表[[#This Row],[新估时]],工单表[[#This Row],[原估时]]),""))</f>
        <v>1</v>
      </c>
      <c r="L8" s="88"/>
      <c r="M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" s="65"/>
      <c r="O8" s="66" t="s">
        <v>50</v>
      </c>
      <c r="P8" s="67"/>
      <c r="Q8" s="63"/>
      <c r="R8" s="79">
        <v>43077.679259259261</v>
      </c>
      <c r="S8" s="69"/>
    </row>
    <row r="9" spans="1:19" ht="24.75" customHeight="1" x14ac:dyDescent="0.15">
      <c r="B9" s="107">
        <v>4004</v>
      </c>
      <c r="C9" s="105" t="s">
        <v>0</v>
      </c>
      <c r="D9" s="111" t="s">
        <v>63</v>
      </c>
      <c r="E9" s="60" t="str">
        <f>IFERROR(VLOOKUP(工单表[[#This Row],[责任人]],表3[[人员]:[岗位]],2,FALSE),"")</f>
        <v>后端</v>
      </c>
      <c r="F9" s="61">
        <v>1</v>
      </c>
      <c r="G9" s="106">
        <v>4</v>
      </c>
      <c r="H9" s="103">
        <v>43091</v>
      </c>
      <c r="I9" s="106">
        <v>4</v>
      </c>
      <c r="J9" s="106">
        <v>0</v>
      </c>
      <c r="K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9" s="88">
        <v>4003</v>
      </c>
      <c r="M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前置人已完成</v>
      </c>
      <c r="N9" s="65"/>
      <c r="O9" s="75"/>
      <c r="P9" s="67"/>
      <c r="Q9" s="63"/>
      <c r="R9" s="79">
        <v>43077.679259259261</v>
      </c>
      <c r="S9" s="69"/>
    </row>
    <row r="10" spans="1:19" ht="24.75" customHeight="1" x14ac:dyDescent="0.15">
      <c r="B10" s="107">
        <v>4005</v>
      </c>
      <c r="C10" s="85" t="s">
        <v>14</v>
      </c>
      <c r="D10" s="98" t="s">
        <v>64</v>
      </c>
      <c r="E10" s="60" t="str">
        <f>IFERROR(VLOOKUP(工单表[[#This Row],[责任人]],表3[[人员]:[岗位]],2,FALSE),"")</f>
        <v>3D</v>
      </c>
      <c r="F10" s="61">
        <v>1</v>
      </c>
      <c r="G10" s="105">
        <v>2</v>
      </c>
      <c r="H10" s="103">
        <v>43091</v>
      </c>
      <c r="I10" s="105">
        <v>2</v>
      </c>
      <c r="J10" s="106">
        <v>0</v>
      </c>
      <c r="K1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0" s="88"/>
      <c r="M1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" s="65"/>
      <c r="O10" s="75"/>
      <c r="P10" s="67"/>
      <c r="Q10" s="63"/>
      <c r="R10" s="79">
        <v>43077.679259259261</v>
      </c>
      <c r="S10" s="69"/>
    </row>
    <row r="11" spans="1:19" ht="24.75" customHeight="1" x14ac:dyDescent="0.15">
      <c r="B11" s="107">
        <v>4006</v>
      </c>
      <c r="C11" s="105" t="s">
        <v>15</v>
      </c>
      <c r="D11" s="98" t="s">
        <v>65</v>
      </c>
      <c r="E11" s="60" t="str">
        <f>IFERROR(VLOOKUP(工单表[[#This Row],[责任人]],表3[[人员]:[岗位]],2,FALSE),"")</f>
        <v>UI</v>
      </c>
      <c r="F11" s="61">
        <v>1</v>
      </c>
      <c r="G11" s="105">
        <v>1</v>
      </c>
      <c r="H11" s="103">
        <v>43091</v>
      </c>
      <c r="I11" s="105">
        <v>1</v>
      </c>
      <c r="J11" s="106"/>
      <c r="K1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1" s="88"/>
      <c r="M1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" s="72"/>
      <c r="O11" s="75"/>
      <c r="P11" s="74"/>
      <c r="Q11" s="70"/>
      <c r="R11" s="79">
        <v>43077.679259259261</v>
      </c>
      <c r="S11" s="69"/>
    </row>
    <row r="12" spans="1:19" ht="24.75" customHeight="1" x14ac:dyDescent="0.15">
      <c r="B12" s="107">
        <v>4007</v>
      </c>
      <c r="C12" s="105" t="s">
        <v>14</v>
      </c>
      <c r="D12" s="98" t="s">
        <v>66</v>
      </c>
      <c r="E12" s="60" t="str">
        <f>IFERROR(VLOOKUP(工单表[[#This Row],[责任人]],表3[[人员]:[岗位]],2,FALSE),"")</f>
        <v>3D</v>
      </c>
      <c r="F12" s="61">
        <v>1</v>
      </c>
      <c r="G12" s="105">
        <v>1</v>
      </c>
      <c r="H12" s="103">
        <v>43091</v>
      </c>
      <c r="I12" s="105">
        <v>1</v>
      </c>
      <c r="J12" s="106"/>
      <c r="K1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2" s="88">
        <v>4006</v>
      </c>
      <c r="M1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吴有莎0%</v>
      </c>
      <c r="N12" s="72"/>
      <c r="O12" s="75"/>
      <c r="P12" s="74"/>
      <c r="Q12" s="70"/>
      <c r="R12" s="79">
        <v>43077.679259259261</v>
      </c>
      <c r="S12" s="69"/>
    </row>
    <row r="13" spans="1:19" ht="24.75" customHeight="1" x14ac:dyDescent="0.15">
      <c r="B13" s="107">
        <v>4008</v>
      </c>
      <c r="C13" s="105" t="s">
        <v>15</v>
      </c>
      <c r="D13" s="98" t="s">
        <v>67</v>
      </c>
      <c r="E13" s="60" t="str">
        <f>IFERROR(VLOOKUP(工单表[[#This Row],[责任人]],表3[[人员]:[岗位]],2,FALSE),"")</f>
        <v>UI</v>
      </c>
      <c r="F13" s="61">
        <v>1</v>
      </c>
      <c r="G13" s="105">
        <v>1</v>
      </c>
      <c r="H13" s="103">
        <v>43091</v>
      </c>
      <c r="I13" s="105">
        <v>1</v>
      </c>
      <c r="J13" s="106"/>
      <c r="K1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3" s="88"/>
      <c r="M1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" s="72"/>
      <c r="O13" s="66"/>
      <c r="P13" s="74"/>
      <c r="Q13" s="70"/>
      <c r="R13" s="79">
        <v>43077.679259259261</v>
      </c>
      <c r="S13" s="69"/>
    </row>
    <row r="14" spans="1:19" ht="24.75" customHeight="1" x14ac:dyDescent="0.15">
      <c r="B14" s="107">
        <v>4009</v>
      </c>
      <c r="C14" s="105" t="s">
        <v>14</v>
      </c>
      <c r="D14" s="98" t="s">
        <v>68</v>
      </c>
      <c r="E14" s="60" t="str">
        <f>IFERROR(VLOOKUP(工单表[[#This Row],[责任人]],表3[[人员]:[岗位]],2,FALSE),"")</f>
        <v>3D</v>
      </c>
      <c r="F14" s="61">
        <v>1</v>
      </c>
      <c r="G14" s="105">
        <v>1</v>
      </c>
      <c r="H14" s="103">
        <v>43091</v>
      </c>
      <c r="I14" s="105">
        <v>1</v>
      </c>
      <c r="J14" s="106"/>
      <c r="K1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4" s="88">
        <v>4008</v>
      </c>
      <c r="M1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吴有莎0%</v>
      </c>
      <c r="N14" s="65"/>
      <c r="O14" s="75"/>
      <c r="P14" s="67"/>
      <c r="Q14" s="63"/>
      <c r="R14" s="79">
        <v>43077.679259259261</v>
      </c>
      <c r="S14" s="69"/>
    </row>
    <row r="15" spans="1:19" ht="24.75" customHeight="1" x14ac:dyDescent="0.15">
      <c r="B15" s="107">
        <v>4010</v>
      </c>
      <c r="C15" s="85" t="s">
        <v>15</v>
      </c>
      <c r="D15" s="98" t="s">
        <v>69</v>
      </c>
      <c r="E15" s="60" t="str">
        <f>IFERROR(VLOOKUP(工单表[[#This Row],[责任人]],表3[[人员]:[岗位]],2,FALSE),"")</f>
        <v>UI</v>
      </c>
      <c r="F15" s="61">
        <v>1</v>
      </c>
      <c r="G15" s="105">
        <v>1</v>
      </c>
      <c r="H15" s="103">
        <v>43091</v>
      </c>
      <c r="I15" s="105">
        <v>1</v>
      </c>
      <c r="J15" s="106"/>
      <c r="K1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5" s="88"/>
      <c r="M1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" s="65"/>
      <c r="O15" s="66"/>
      <c r="P15" s="67"/>
      <c r="Q15" s="63"/>
      <c r="R15" s="79">
        <v>43077.679259259261</v>
      </c>
      <c r="S15" s="69"/>
    </row>
    <row r="16" spans="1:19" ht="24.75" customHeight="1" x14ac:dyDescent="0.15">
      <c r="B16" s="107">
        <v>4011</v>
      </c>
      <c r="C16" s="85" t="s">
        <v>13</v>
      </c>
      <c r="D16" s="98" t="s">
        <v>70</v>
      </c>
      <c r="E16" s="60" t="str">
        <f>IFERROR(VLOOKUP(工单表[[#This Row],[责任人]],表3[[人员]:[岗位]],2,FALSE),"")</f>
        <v>前端</v>
      </c>
      <c r="F16" s="61">
        <v>1</v>
      </c>
      <c r="G16" s="105">
        <v>1</v>
      </c>
      <c r="H16" s="103">
        <v>43091</v>
      </c>
      <c r="I16" s="105">
        <v>1</v>
      </c>
      <c r="J16" s="106">
        <v>0</v>
      </c>
      <c r="K1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6" s="88">
        <v>4010</v>
      </c>
      <c r="M1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吴有莎0%</v>
      </c>
      <c r="N16" s="65"/>
      <c r="O16" s="66"/>
      <c r="P16" s="67"/>
      <c r="Q16" s="63"/>
      <c r="R16" s="79">
        <v>43077.679259259261</v>
      </c>
      <c r="S16" s="69"/>
    </row>
    <row r="17" spans="2:19" ht="24.75" customHeight="1" x14ac:dyDescent="0.15">
      <c r="B17" s="107">
        <v>4012</v>
      </c>
      <c r="C17" s="105" t="s">
        <v>13</v>
      </c>
      <c r="D17" s="102" t="s">
        <v>71</v>
      </c>
      <c r="E17" s="60" t="str">
        <f>IFERROR(VLOOKUP(工单表[[#This Row],[责任人]],表3[[人员]:[岗位]],2,FALSE),"")</f>
        <v>前端</v>
      </c>
      <c r="F17" s="61">
        <v>1</v>
      </c>
      <c r="G17" s="105">
        <v>1</v>
      </c>
      <c r="H17" s="103">
        <v>43091</v>
      </c>
      <c r="I17" s="105">
        <v>1</v>
      </c>
      <c r="J17" s="106"/>
      <c r="K1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7" s="88"/>
      <c r="M1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" s="65"/>
      <c r="O17" s="66"/>
      <c r="P17" s="67"/>
      <c r="Q17" s="63"/>
      <c r="R17" s="79">
        <v>43077.679259259261</v>
      </c>
      <c r="S17" s="69"/>
    </row>
    <row r="18" spans="2:19" ht="24.75" customHeight="1" x14ac:dyDescent="0.15">
      <c r="B18" s="107">
        <v>4085</v>
      </c>
      <c r="C18" s="105" t="s">
        <v>10</v>
      </c>
      <c r="D18" s="101" t="s">
        <v>143</v>
      </c>
      <c r="E18" s="60" t="str">
        <f>IFERROR(VLOOKUP(工单表[[#This Row],[责任人]],表3[[人员]:[岗位]],2,FALSE),"")</f>
        <v>前端</v>
      </c>
      <c r="F18" s="61">
        <v>1</v>
      </c>
      <c r="G18" s="105">
        <v>32</v>
      </c>
      <c r="H18" s="103">
        <v>43091</v>
      </c>
      <c r="I18" s="105">
        <v>32</v>
      </c>
      <c r="J18" s="104"/>
      <c r="K1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8" s="85"/>
      <c r="M1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" s="65"/>
      <c r="O18" s="73"/>
      <c r="P18" s="67"/>
      <c r="Q18" s="63"/>
      <c r="R18" s="79">
        <v>43077.679259259261</v>
      </c>
      <c r="S18" s="69"/>
    </row>
    <row r="19" spans="2:19" ht="24.75" customHeight="1" x14ac:dyDescent="0.15">
      <c r="B19" s="107">
        <v>4086</v>
      </c>
      <c r="C19" s="105" t="s">
        <v>145</v>
      </c>
      <c r="D19" s="101" t="s">
        <v>144</v>
      </c>
      <c r="E19" s="60" t="str">
        <f>IFERROR(VLOOKUP(工单表[[#This Row],[责任人]],表3[[人员]:[岗位]],2,FALSE),"")</f>
        <v>后端</v>
      </c>
      <c r="F19" s="61">
        <v>1</v>
      </c>
      <c r="G19" s="105">
        <v>32</v>
      </c>
      <c r="H19" s="103">
        <v>43091</v>
      </c>
      <c r="I19" s="105">
        <v>32</v>
      </c>
      <c r="J19" s="106"/>
      <c r="K1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9" s="88"/>
      <c r="M1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" s="65"/>
      <c r="O19" s="75"/>
      <c r="P19" s="67"/>
      <c r="Q19" s="63"/>
      <c r="R19" s="79">
        <v>43077.679259259261</v>
      </c>
      <c r="S19" s="69"/>
    </row>
    <row r="20" spans="2:19" ht="24.75" customHeight="1" x14ac:dyDescent="0.15">
      <c r="B20" s="107">
        <v>4013</v>
      </c>
      <c r="C20" s="105" t="s">
        <v>13</v>
      </c>
      <c r="D20" s="98" t="s">
        <v>72</v>
      </c>
      <c r="E20" s="60" t="str">
        <f>IFERROR(VLOOKUP(工单表[[#This Row],[责任人]],表3[[人员]:[岗位]],2,FALSE),"")</f>
        <v>前端</v>
      </c>
      <c r="F20" s="61">
        <v>2</v>
      </c>
      <c r="G20" s="105">
        <v>24</v>
      </c>
      <c r="H20" s="103">
        <v>43091</v>
      </c>
      <c r="I20" s="105">
        <v>24</v>
      </c>
      <c r="J20" s="106">
        <v>0</v>
      </c>
      <c r="K2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0" s="88"/>
      <c r="M2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" s="65"/>
      <c r="O20" s="75"/>
      <c r="P20" s="67"/>
      <c r="Q20" s="63"/>
      <c r="R20" s="79">
        <v>43077.679259259261</v>
      </c>
      <c r="S20" s="69"/>
    </row>
    <row r="21" spans="2:19" ht="24.75" customHeight="1" x14ac:dyDescent="0.15">
      <c r="B21" s="107">
        <v>4014</v>
      </c>
      <c r="C21" s="105" t="s">
        <v>13</v>
      </c>
      <c r="D21" s="98" t="s">
        <v>73</v>
      </c>
      <c r="E21" s="76" t="str">
        <f>IFERROR(VLOOKUP(工单表[[#This Row],[责任人]],表3[[人员]:[岗位]],2,FALSE),"")</f>
        <v>前端</v>
      </c>
      <c r="F21" s="61">
        <v>2</v>
      </c>
      <c r="G21" s="105">
        <v>1</v>
      </c>
      <c r="H21" s="103">
        <v>43091</v>
      </c>
      <c r="I21" s="105">
        <v>1</v>
      </c>
      <c r="J21" s="106"/>
      <c r="K21" s="77">
        <f>IF(工单表[[#This Row],[验收备注]]="已关闭",1,IFERROR(工单表[[#This Row],[耗时]]/IF(工单表[[#This Row],[新估时]]&gt;0,工单表[[#This Row],[新估时]],工单表[[#This Row],[原估时]]),""))</f>
        <v>0</v>
      </c>
      <c r="L21" s="88"/>
      <c r="M21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" s="72"/>
      <c r="O21" s="75"/>
      <c r="P21" s="74"/>
      <c r="Q21" s="70"/>
      <c r="R21" s="79">
        <v>43077.679259259261</v>
      </c>
      <c r="S21" s="69"/>
    </row>
    <row r="22" spans="2:19" ht="24.75" customHeight="1" x14ac:dyDescent="0.15">
      <c r="B22" s="107">
        <v>4015</v>
      </c>
      <c r="C22" s="105" t="s">
        <v>11</v>
      </c>
      <c r="D22" s="98" t="s">
        <v>74</v>
      </c>
      <c r="E22" s="60" t="str">
        <f>IFERROR(VLOOKUP(工单表[[#This Row],[责任人]],表3[[人员]:[岗位]],2,FALSE),"")</f>
        <v>后端</v>
      </c>
      <c r="F22" s="61">
        <v>2</v>
      </c>
      <c r="G22" s="105">
        <v>1</v>
      </c>
      <c r="H22" s="103">
        <v>43091</v>
      </c>
      <c r="I22" s="105">
        <v>1</v>
      </c>
      <c r="J22" s="106">
        <v>0</v>
      </c>
      <c r="K2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2" s="88"/>
      <c r="M2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" s="72"/>
      <c r="O22" s="75"/>
      <c r="P22" s="74"/>
      <c r="Q22" s="70"/>
      <c r="R22" s="79">
        <v>43077.679259259261</v>
      </c>
      <c r="S22" s="69"/>
    </row>
    <row r="23" spans="2:19" ht="24.75" customHeight="1" x14ac:dyDescent="0.15">
      <c r="B23" s="107">
        <v>4016</v>
      </c>
      <c r="C23" s="85" t="s">
        <v>15</v>
      </c>
      <c r="D23" s="84" t="s">
        <v>75</v>
      </c>
      <c r="E23" s="60" t="str">
        <f>IFERROR(VLOOKUP(工单表[[#This Row],[责任人]],表3[[人员]:[岗位]],2,FALSE),"")</f>
        <v>UI</v>
      </c>
      <c r="F23" s="61">
        <v>2</v>
      </c>
      <c r="G23" s="105">
        <v>4</v>
      </c>
      <c r="H23" s="103">
        <v>43091</v>
      </c>
      <c r="I23" s="105">
        <v>4</v>
      </c>
      <c r="J23" s="106">
        <v>0</v>
      </c>
      <c r="K2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3" s="88"/>
      <c r="M2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" s="72"/>
      <c r="O23" s="75"/>
      <c r="P23" s="74"/>
      <c r="Q23" s="70"/>
      <c r="R23" s="79">
        <v>43077.679259259261</v>
      </c>
      <c r="S23" s="69"/>
    </row>
    <row r="24" spans="2:19" ht="24.75" customHeight="1" x14ac:dyDescent="0.15">
      <c r="B24" s="107">
        <v>4017</v>
      </c>
      <c r="C24" s="85" t="s">
        <v>14</v>
      </c>
      <c r="D24" s="84" t="s">
        <v>76</v>
      </c>
      <c r="E24" s="60" t="str">
        <f>IFERROR(VLOOKUP(工单表[[#This Row],[责任人]],表3[[人员]:[岗位]],2,FALSE),"")</f>
        <v>3D</v>
      </c>
      <c r="F24" s="61">
        <v>2</v>
      </c>
      <c r="G24" s="105">
        <v>4</v>
      </c>
      <c r="H24" s="103">
        <v>43091</v>
      </c>
      <c r="I24" s="105">
        <v>4</v>
      </c>
      <c r="J24" s="106">
        <v>0</v>
      </c>
      <c r="K2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4" s="88">
        <v>4016</v>
      </c>
      <c r="M2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吴有莎0%</v>
      </c>
      <c r="N24" s="65"/>
      <c r="O24" s="75"/>
      <c r="P24" s="67"/>
      <c r="Q24" s="63"/>
      <c r="R24" s="79">
        <v>43077.679259259261</v>
      </c>
      <c r="S24" s="69"/>
    </row>
    <row r="25" spans="2:19" ht="24.75" customHeight="1" x14ac:dyDescent="0.15">
      <c r="B25" s="107">
        <v>4018</v>
      </c>
      <c r="C25" s="105" t="s">
        <v>10</v>
      </c>
      <c r="D25" s="110" t="s">
        <v>77</v>
      </c>
      <c r="E25" s="60" t="str">
        <f>IFERROR(VLOOKUP(工单表[[#This Row],[责任人]],表3[[人员]:[岗位]],2,FALSE),"")</f>
        <v>前端</v>
      </c>
      <c r="F25" s="61">
        <v>2</v>
      </c>
      <c r="G25" s="105">
        <v>2</v>
      </c>
      <c r="H25" s="103">
        <v>43091</v>
      </c>
      <c r="I25" s="105">
        <v>2</v>
      </c>
      <c r="J25" s="106">
        <v>0</v>
      </c>
      <c r="K2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5" s="88"/>
      <c r="M2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" s="65"/>
      <c r="O25" s="75"/>
      <c r="P25" s="67"/>
      <c r="Q25" s="63"/>
      <c r="R25" s="79">
        <v>43077.679259259261</v>
      </c>
      <c r="S25" s="69"/>
    </row>
    <row r="26" spans="2:19" ht="24.75" customHeight="1" x14ac:dyDescent="0.15">
      <c r="B26" s="107">
        <v>4019</v>
      </c>
      <c r="C26" s="105" t="s">
        <v>10</v>
      </c>
      <c r="D26" s="101" t="s">
        <v>78</v>
      </c>
      <c r="E26" s="60" t="str">
        <f>IFERROR(VLOOKUP(工单表[[#This Row],[责任人]],表3[[人员]:[岗位]],2,FALSE),"")</f>
        <v>前端</v>
      </c>
      <c r="F26" s="61">
        <v>2</v>
      </c>
      <c r="G26" s="105">
        <v>2</v>
      </c>
      <c r="H26" s="103">
        <v>43091</v>
      </c>
      <c r="I26" s="105">
        <v>2</v>
      </c>
      <c r="J26" s="106"/>
      <c r="K2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6" s="88"/>
      <c r="M2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6" s="72"/>
      <c r="O26" s="75"/>
      <c r="P26" s="74"/>
      <c r="Q26" s="70"/>
      <c r="R26" s="79">
        <v>43077.679259259261</v>
      </c>
      <c r="S26" s="69"/>
    </row>
    <row r="27" spans="2:19" ht="24.75" customHeight="1" x14ac:dyDescent="0.15">
      <c r="B27" s="107">
        <v>4020</v>
      </c>
      <c r="C27" s="105" t="s">
        <v>10</v>
      </c>
      <c r="D27" s="101" t="s">
        <v>79</v>
      </c>
      <c r="E27" s="60" t="str">
        <f>IFERROR(VLOOKUP(工单表[[#This Row],[责任人]],表3[[人员]:[岗位]],2,FALSE),"")</f>
        <v>前端</v>
      </c>
      <c r="F27" s="61">
        <v>2</v>
      </c>
      <c r="G27" s="105">
        <v>4</v>
      </c>
      <c r="H27" s="103">
        <v>43091</v>
      </c>
      <c r="I27" s="105">
        <v>4</v>
      </c>
      <c r="J27" s="106"/>
      <c r="K2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7" s="88"/>
      <c r="M2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7" s="65"/>
      <c r="O27" s="75"/>
      <c r="P27" s="67"/>
      <c r="Q27" s="63"/>
      <c r="R27" s="79">
        <v>43077.679259259261</v>
      </c>
      <c r="S27" s="69"/>
    </row>
    <row r="28" spans="2:19" ht="24.75" customHeight="1" x14ac:dyDescent="0.15">
      <c r="B28" s="107">
        <v>4021</v>
      </c>
      <c r="C28" s="105" t="s">
        <v>0</v>
      </c>
      <c r="D28" s="101" t="s">
        <v>80</v>
      </c>
      <c r="E28" s="60" t="str">
        <f>IFERROR(VLOOKUP(工单表[[#This Row],[责任人]],表3[[人员]:[岗位]],2,FALSE),"")</f>
        <v>后端</v>
      </c>
      <c r="F28" s="61">
        <v>2</v>
      </c>
      <c r="G28" s="105">
        <v>1</v>
      </c>
      <c r="H28" s="103">
        <v>43091</v>
      </c>
      <c r="I28" s="105">
        <v>1</v>
      </c>
      <c r="J28" s="106">
        <v>0</v>
      </c>
      <c r="K2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8" s="88"/>
      <c r="M2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8" s="65"/>
      <c r="O28" s="75"/>
      <c r="P28" s="67"/>
      <c r="Q28" s="63"/>
      <c r="R28" s="79">
        <v>43077.679259259261</v>
      </c>
      <c r="S28" s="69"/>
    </row>
    <row r="29" spans="2:19" ht="24.75" customHeight="1" x14ac:dyDescent="0.15">
      <c r="B29" s="107">
        <v>4022</v>
      </c>
      <c r="C29" s="105" t="s">
        <v>14</v>
      </c>
      <c r="D29" s="98" t="s">
        <v>81</v>
      </c>
      <c r="E29" s="60" t="str">
        <f>IFERROR(VLOOKUP(工单表[[#This Row],[责任人]],表3[[人员]:[岗位]],2,FALSE),"")</f>
        <v>3D</v>
      </c>
      <c r="F29" s="61">
        <v>2</v>
      </c>
      <c r="G29" s="105">
        <v>2</v>
      </c>
      <c r="H29" s="103">
        <v>43091</v>
      </c>
      <c r="I29" s="105">
        <v>2</v>
      </c>
      <c r="J29" s="106"/>
      <c r="K2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29" s="88"/>
      <c r="M2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9" s="65"/>
      <c r="O29" s="75"/>
      <c r="P29" s="67"/>
      <c r="Q29" s="63"/>
      <c r="R29" s="79">
        <v>43077.679259259261</v>
      </c>
      <c r="S29" s="69"/>
    </row>
    <row r="30" spans="2:19" ht="24.75" customHeight="1" x14ac:dyDescent="0.15">
      <c r="B30" s="107">
        <v>4023</v>
      </c>
      <c r="C30" s="105" t="s">
        <v>10</v>
      </c>
      <c r="D30" s="98" t="s">
        <v>82</v>
      </c>
      <c r="E30" s="60" t="str">
        <f>IFERROR(VLOOKUP(工单表[[#This Row],[责任人]],表3[[人员]:[岗位]],2,FALSE),"")</f>
        <v>前端</v>
      </c>
      <c r="F30" s="61">
        <v>2</v>
      </c>
      <c r="G30" s="105">
        <v>2</v>
      </c>
      <c r="H30" s="103">
        <v>43091</v>
      </c>
      <c r="I30" s="105">
        <v>2</v>
      </c>
      <c r="J30" s="106"/>
      <c r="K3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0" s="88"/>
      <c r="M3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0" s="65"/>
      <c r="O30" s="75"/>
      <c r="P30" s="67"/>
      <c r="Q30" s="63"/>
      <c r="R30" s="79">
        <v>43077.679259259261</v>
      </c>
      <c r="S30" s="69"/>
    </row>
    <row r="31" spans="2:19" ht="24.75" customHeight="1" x14ac:dyDescent="0.15">
      <c r="B31" s="107">
        <v>4024</v>
      </c>
      <c r="C31" s="105" t="s">
        <v>12</v>
      </c>
      <c r="D31" s="99" t="s">
        <v>83</v>
      </c>
      <c r="E31" s="60" t="str">
        <f>IFERROR(VLOOKUP(工单表[[#This Row],[责任人]],表3[[人员]:[岗位]],2,FALSE),"")</f>
        <v>策划</v>
      </c>
      <c r="F31" s="61">
        <v>3</v>
      </c>
      <c r="G31" s="105">
        <v>24</v>
      </c>
      <c r="H31" s="103">
        <v>43091</v>
      </c>
      <c r="I31" s="105">
        <v>24</v>
      </c>
      <c r="J31" s="106"/>
      <c r="K3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1" s="88"/>
      <c r="M3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1" s="65"/>
      <c r="O31" s="75"/>
      <c r="P31" s="67"/>
      <c r="Q31" s="63"/>
      <c r="R31" s="79">
        <v>43077.679259259261</v>
      </c>
      <c r="S31" s="69"/>
    </row>
    <row r="32" spans="2:19" ht="24.75" customHeight="1" x14ac:dyDescent="0.15">
      <c r="B32" s="107">
        <v>4025</v>
      </c>
      <c r="C32" s="85" t="s">
        <v>10</v>
      </c>
      <c r="D32" s="101" t="s">
        <v>84</v>
      </c>
      <c r="E32" s="60" t="str">
        <f>IFERROR(VLOOKUP(工单表[[#This Row],[责任人]],表3[[人员]:[岗位]],2,FALSE),"")</f>
        <v>前端</v>
      </c>
      <c r="F32" s="61">
        <v>3</v>
      </c>
      <c r="G32" s="105">
        <v>2</v>
      </c>
      <c r="H32" s="103">
        <v>43091</v>
      </c>
      <c r="I32" s="105">
        <v>2</v>
      </c>
      <c r="J32" s="106"/>
      <c r="K3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2" s="88"/>
      <c r="M3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2" s="65"/>
      <c r="O32" s="75"/>
      <c r="P32" s="67"/>
      <c r="Q32" s="63"/>
      <c r="R32" s="79">
        <v>43077.679259259261</v>
      </c>
      <c r="S32" s="69"/>
    </row>
    <row r="33" spans="2:19" ht="24.75" customHeight="1" x14ac:dyDescent="0.15">
      <c r="B33" s="107">
        <v>4026</v>
      </c>
      <c r="C33" s="105" t="s">
        <v>13</v>
      </c>
      <c r="D33" s="111" t="s">
        <v>85</v>
      </c>
      <c r="E33" s="60" t="str">
        <f>IFERROR(VLOOKUP(工单表[[#This Row],[责任人]],表3[[人员]:[岗位]],2,FALSE),"")</f>
        <v>前端</v>
      </c>
      <c r="F33" s="61">
        <v>3</v>
      </c>
      <c r="G33" s="105">
        <v>8</v>
      </c>
      <c r="H33" s="103">
        <v>43091</v>
      </c>
      <c r="I33" s="105">
        <v>8</v>
      </c>
      <c r="J33" s="106"/>
      <c r="K3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3" s="88"/>
      <c r="M3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3" s="72"/>
      <c r="O33" s="75"/>
      <c r="P33" s="74"/>
      <c r="Q33" s="70"/>
      <c r="R33" s="79">
        <v>43077.679259259261</v>
      </c>
      <c r="S33" s="69"/>
    </row>
    <row r="34" spans="2:19" ht="24.75" customHeight="1" x14ac:dyDescent="0.15">
      <c r="B34" s="107">
        <v>4027</v>
      </c>
      <c r="C34" s="85" t="s">
        <v>15</v>
      </c>
      <c r="D34" s="101" t="s">
        <v>86</v>
      </c>
      <c r="E34" s="60" t="str">
        <f>IFERROR(VLOOKUP(工单表[[#This Row],[责任人]],表3[[人员]:[岗位]],2,FALSE),"")</f>
        <v>UI</v>
      </c>
      <c r="F34" s="61">
        <v>3</v>
      </c>
      <c r="G34" s="105">
        <v>2</v>
      </c>
      <c r="H34" s="103">
        <v>43091</v>
      </c>
      <c r="I34" s="105">
        <v>2</v>
      </c>
      <c r="J34" s="106"/>
      <c r="K3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4" s="88"/>
      <c r="M3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4" s="65"/>
      <c r="O34" s="75"/>
      <c r="P34" s="67"/>
      <c r="Q34" s="63"/>
      <c r="R34" s="79">
        <v>43077.679259259261</v>
      </c>
      <c r="S34" s="69"/>
    </row>
    <row r="35" spans="2:19" ht="24.75" customHeight="1" x14ac:dyDescent="0.15">
      <c r="B35" s="107">
        <v>4028</v>
      </c>
      <c r="C35" s="85" t="s">
        <v>10</v>
      </c>
      <c r="D35" s="101" t="s">
        <v>87</v>
      </c>
      <c r="E35" s="60" t="str">
        <f>IFERROR(VLOOKUP(工单表[[#This Row],[责任人]],表3[[人员]:[岗位]],2,FALSE),"")</f>
        <v>前端</v>
      </c>
      <c r="F35" s="61">
        <v>3</v>
      </c>
      <c r="G35" s="105">
        <v>2</v>
      </c>
      <c r="H35" s="103">
        <v>43091</v>
      </c>
      <c r="I35" s="105">
        <v>2</v>
      </c>
      <c r="J35" s="106">
        <v>0</v>
      </c>
      <c r="K3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5" s="88">
        <v>4027</v>
      </c>
      <c r="M3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吴有莎0%</v>
      </c>
      <c r="N35" s="65"/>
      <c r="O35" s="75"/>
      <c r="P35" s="67"/>
      <c r="Q35" s="63"/>
      <c r="R35" s="79">
        <v>43077.679259259261</v>
      </c>
      <c r="S35" s="69"/>
    </row>
    <row r="36" spans="2:19" ht="24.75" customHeight="1" x14ac:dyDescent="0.15">
      <c r="B36" s="107">
        <v>4029</v>
      </c>
      <c r="C36" s="85" t="s">
        <v>0</v>
      </c>
      <c r="D36" s="101" t="s">
        <v>88</v>
      </c>
      <c r="E36" s="60" t="str">
        <f>IFERROR(VLOOKUP(工单表[[#This Row],[责任人]],表3[[人员]:[岗位]],2,FALSE),"")</f>
        <v>后端</v>
      </c>
      <c r="F36" s="61">
        <v>3</v>
      </c>
      <c r="G36" s="105">
        <v>2</v>
      </c>
      <c r="H36" s="103">
        <v>43091</v>
      </c>
      <c r="I36" s="105">
        <v>2</v>
      </c>
      <c r="J36" s="106"/>
      <c r="K3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6" s="88"/>
      <c r="M3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6" s="65"/>
      <c r="O36" s="75"/>
      <c r="P36" s="67"/>
      <c r="Q36" s="63"/>
      <c r="R36" s="79">
        <v>43077.679259259261</v>
      </c>
      <c r="S36" s="69"/>
    </row>
    <row r="37" spans="2:19" ht="24.75" customHeight="1" x14ac:dyDescent="0.15">
      <c r="B37" s="107">
        <v>4030</v>
      </c>
      <c r="C37" s="105" t="s">
        <v>10</v>
      </c>
      <c r="D37" s="101" t="s">
        <v>89</v>
      </c>
      <c r="E37" s="60" t="str">
        <f>IFERROR(VLOOKUP(工单表[[#This Row],[责任人]],表3[[人员]:[岗位]],2,FALSE),"")</f>
        <v>前端</v>
      </c>
      <c r="F37" s="61">
        <v>3</v>
      </c>
      <c r="G37" s="105">
        <v>1</v>
      </c>
      <c r="H37" s="103">
        <v>43091</v>
      </c>
      <c r="I37" s="105">
        <v>1</v>
      </c>
      <c r="J37" s="104"/>
      <c r="K3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7" s="85"/>
      <c r="M3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7" s="65"/>
      <c r="O37" s="73"/>
      <c r="P37" s="67"/>
      <c r="Q37" s="63"/>
      <c r="R37" s="79">
        <v>43077.679259259261</v>
      </c>
      <c r="S37" s="69"/>
    </row>
    <row r="38" spans="2:19" ht="24.75" customHeight="1" x14ac:dyDescent="0.15">
      <c r="B38" s="107">
        <v>4031</v>
      </c>
      <c r="C38" s="105" t="s">
        <v>13</v>
      </c>
      <c r="D38" s="101" t="s">
        <v>90</v>
      </c>
      <c r="E38" s="60" t="str">
        <f>IFERROR(VLOOKUP(工单表[[#This Row],[责任人]],表3[[人员]:[岗位]],2,FALSE),"")</f>
        <v>前端</v>
      </c>
      <c r="F38" s="61">
        <v>3</v>
      </c>
      <c r="G38" s="105">
        <v>1</v>
      </c>
      <c r="H38" s="103">
        <v>43091</v>
      </c>
      <c r="I38" s="105">
        <v>1</v>
      </c>
      <c r="J38" s="106"/>
      <c r="K3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8" s="88"/>
      <c r="M3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8" s="65"/>
      <c r="O38" s="66"/>
      <c r="P38" s="67"/>
      <c r="Q38" s="63"/>
      <c r="R38" s="79">
        <v>43077.679259259261</v>
      </c>
      <c r="S38" s="69"/>
    </row>
    <row r="39" spans="2:19" ht="24.75" customHeight="1" x14ac:dyDescent="0.15">
      <c r="B39" s="107">
        <v>4032</v>
      </c>
      <c r="C39" s="105" t="s">
        <v>15</v>
      </c>
      <c r="D39" s="101" t="s">
        <v>135</v>
      </c>
      <c r="E39" s="60" t="str">
        <f>IFERROR(VLOOKUP(工单表[[#This Row],[责任人]],表3[[人员]:[岗位]],2,FALSE),"")</f>
        <v>UI</v>
      </c>
      <c r="F39" s="61">
        <v>3</v>
      </c>
      <c r="G39" s="105">
        <v>2</v>
      </c>
      <c r="H39" s="103">
        <v>43091</v>
      </c>
      <c r="I39" s="105">
        <v>2</v>
      </c>
      <c r="J39" s="106"/>
      <c r="K3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39" s="88"/>
      <c r="M3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39" s="65"/>
      <c r="O39" s="75"/>
      <c r="P39" s="67"/>
      <c r="Q39" s="63"/>
      <c r="R39" s="79">
        <v>43077.679259259261</v>
      </c>
      <c r="S39" s="69"/>
    </row>
    <row r="40" spans="2:19" ht="24.75" customHeight="1" x14ac:dyDescent="0.15">
      <c r="B40" s="107">
        <v>4033</v>
      </c>
      <c r="C40" s="105" t="s">
        <v>13</v>
      </c>
      <c r="D40" s="102" t="s">
        <v>136</v>
      </c>
      <c r="E40" s="60" t="str">
        <f>IFERROR(VLOOKUP(工单表[[#This Row],[责任人]],表3[[人员]:[岗位]],2,FALSE),"")</f>
        <v>前端</v>
      </c>
      <c r="F40" s="61">
        <v>3</v>
      </c>
      <c r="G40" s="105">
        <v>2</v>
      </c>
      <c r="H40" s="103">
        <v>43091</v>
      </c>
      <c r="I40" s="105">
        <v>2</v>
      </c>
      <c r="J40" s="104"/>
      <c r="K4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0" s="85">
        <v>4033</v>
      </c>
      <c r="M4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何送明0%</v>
      </c>
      <c r="N40" s="65"/>
      <c r="O40" s="73"/>
      <c r="P40" s="67"/>
      <c r="Q40" s="63"/>
      <c r="R40" s="79">
        <v>43077.679259259261</v>
      </c>
      <c r="S40" s="69"/>
    </row>
    <row r="41" spans="2:19" ht="24.75" customHeight="1" x14ac:dyDescent="0.15">
      <c r="B41" s="107">
        <v>4034</v>
      </c>
      <c r="C41" s="105" t="s">
        <v>11</v>
      </c>
      <c r="D41" s="102" t="s">
        <v>137</v>
      </c>
      <c r="E41" s="60" t="str">
        <f>IFERROR(VLOOKUP(工单表[[#This Row],[责任人]],表3[[人员]:[岗位]],2,FALSE),"")</f>
        <v>后端</v>
      </c>
      <c r="F41" s="61">
        <v>3</v>
      </c>
      <c r="G41" s="106">
        <v>2</v>
      </c>
      <c r="H41" s="103">
        <v>43091</v>
      </c>
      <c r="I41" s="106">
        <v>2</v>
      </c>
      <c r="J41" s="106"/>
      <c r="K4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1" s="88">
        <v>4034</v>
      </c>
      <c r="M4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董封成0%</v>
      </c>
      <c r="N41" s="65"/>
      <c r="O41" s="66"/>
      <c r="P41" s="67"/>
      <c r="Q41" s="63"/>
      <c r="R41" s="79">
        <v>43077.679259259261</v>
      </c>
      <c r="S41" s="69"/>
    </row>
    <row r="42" spans="2:19" ht="24.75" customHeight="1" x14ac:dyDescent="0.15">
      <c r="B42" s="107">
        <v>4035</v>
      </c>
      <c r="C42" s="105" t="s">
        <v>11</v>
      </c>
      <c r="D42" s="98" t="s">
        <v>117</v>
      </c>
      <c r="E42" s="60" t="str">
        <f>IFERROR(VLOOKUP(工单表[[#This Row],[责任人]],表3[[人员]:[岗位]],2,FALSE),"")</f>
        <v>后端</v>
      </c>
      <c r="F42" s="61">
        <v>4</v>
      </c>
      <c r="G42" s="85">
        <v>2</v>
      </c>
      <c r="H42" s="103">
        <v>43091</v>
      </c>
      <c r="I42" s="85">
        <v>2</v>
      </c>
      <c r="J42" s="104">
        <v>0</v>
      </c>
      <c r="K4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2" s="85"/>
      <c r="M4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42" s="65"/>
      <c r="O42" s="73"/>
      <c r="P42" s="67"/>
      <c r="Q42" s="63"/>
      <c r="R42" s="79">
        <v>43077.679259259261</v>
      </c>
      <c r="S42" s="69"/>
    </row>
    <row r="43" spans="2:19" ht="24.75" customHeight="1" x14ac:dyDescent="0.15">
      <c r="B43" s="107">
        <v>4036</v>
      </c>
      <c r="C43" s="105" t="s">
        <v>13</v>
      </c>
      <c r="D43" s="98" t="s">
        <v>133</v>
      </c>
      <c r="E43" s="60" t="str">
        <f>IFERROR(VLOOKUP(工单表[[#This Row],[责任人]],表3[[人员]:[岗位]],2,FALSE),"")</f>
        <v>前端</v>
      </c>
      <c r="F43" s="61">
        <v>4</v>
      </c>
      <c r="G43" s="105">
        <v>2</v>
      </c>
      <c r="H43" s="103">
        <v>43091</v>
      </c>
      <c r="I43" s="105">
        <v>2</v>
      </c>
      <c r="J43" s="106"/>
      <c r="K4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3" s="88"/>
      <c r="M4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43" s="72"/>
      <c r="O43" s="75"/>
      <c r="P43" s="74"/>
      <c r="Q43" s="70"/>
      <c r="R43" s="79">
        <v>43077.679259259261</v>
      </c>
      <c r="S43" s="69"/>
    </row>
    <row r="44" spans="2:19" ht="24.75" customHeight="1" x14ac:dyDescent="0.15">
      <c r="B44" s="107">
        <v>4037</v>
      </c>
      <c r="C44" s="105" t="s">
        <v>14</v>
      </c>
      <c r="D44" s="98" t="s">
        <v>118</v>
      </c>
      <c r="E44" s="60" t="str">
        <f>IFERROR(VLOOKUP(工单表[[#This Row],[责任人]],表3[[人员]:[岗位]],2,FALSE),"")</f>
        <v>3D</v>
      </c>
      <c r="F44" s="61">
        <v>4</v>
      </c>
      <c r="G44" s="85">
        <v>2</v>
      </c>
      <c r="H44" s="103">
        <v>43091</v>
      </c>
      <c r="I44" s="85">
        <v>2</v>
      </c>
      <c r="J44" s="104"/>
      <c r="K4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4" s="85"/>
      <c r="M4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44" s="65"/>
      <c r="O44" s="73"/>
      <c r="P44" s="67"/>
      <c r="Q44" s="63"/>
      <c r="R44" s="79">
        <v>43077.679259259261</v>
      </c>
      <c r="S44" s="69"/>
    </row>
    <row r="45" spans="2:19" ht="24.75" customHeight="1" x14ac:dyDescent="0.15">
      <c r="B45" s="107">
        <v>4038</v>
      </c>
      <c r="C45" s="85" t="s">
        <v>10</v>
      </c>
      <c r="D45" s="98" t="s">
        <v>119</v>
      </c>
      <c r="E45" s="60" t="str">
        <f>IFERROR(VLOOKUP(工单表[[#This Row],[责任人]],表3[[人员]:[岗位]],2,FALSE),"")</f>
        <v>前端</v>
      </c>
      <c r="F45" s="61">
        <v>4</v>
      </c>
      <c r="G45" s="104">
        <v>2</v>
      </c>
      <c r="H45" s="103">
        <v>43091</v>
      </c>
      <c r="I45" s="104">
        <v>2</v>
      </c>
      <c r="J45" s="106"/>
      <c r="K4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5" s="88"/>
      <c r="M4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45" s="72"/>
      <c r="O45" s="66"/>
      <c r="P45" s="74"/>
      <c r="Q45" s="70"/>
      <c r="R45" s="79">
        <v>43077.679259259261</v>
      </c>
      <c r="S45" s="69"/>
    </row>
    <row r="46" spans="2:19" ht="24.75" customHeight="1" x14ac:dyDescent="0.15">
      <c r="B46" s="107">
        <v>4039</v>
      </c>
      <c r="C46" s="105" t="s">
        <v>15</v>
      </c>
      <c r="D46" s="84" t="s">
        <v>122</v>
      </c>
      <c r="E46" s="60" t="str">
        <f>IFERROR(VLOOKUP(工单表[[#This Row],[责任人]],表3[[人员]:[岗位]],2,FALSE),"")</f>
        <v>UI</v>
      </c>
      <c r="F46" s="61">
        <v>4</v>
      </c>
      <c r="G46" s="105">
        <v>2</v>
      </c>
      <c r="H46" s="103">
        <v>43091</v>
      </c>
      <c r="I46" s="105">
        <v>2</v>
      </c>
      <c r="J46" s="106"/>
      <c r="K4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6" s="88"/>
      <c r="M4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46" s="72"/>
      <c r="O46" s="75"/>
      <c r="P46" s="74"/>
      <c r="Q46" s="70"/>
      <c r="R46" s="79">
        <v>43077.679259259261</v>
      </c>
      <c r="S46" s="69"/>
    </row>
    <row r="47" spans="2:19" ht="24.75" customHeight="1" x14ac:dyDescent="0.15">
      <c r="B47" s="107">
        <v>4040</v>
      </c>
      <c r="C47" s="105" t="s">
        <v>14</v>
      </c>
      <c r="D47" s="84" t="s">
        <v>123</v>
      </c>
      <c r="E47" s="60" t="str">
        <f>IFERROR(VLOOKUP(工单表[[#This Row],[责任人]],表3[[人员]:[岗位]],2,FALSE),"")</f>
        <v>3D</v>
      </c>
      <c r="F47" s="61">
        <v>4</v>
      </c>
      <c r="G47" s="106">
        <v>2</v>
      </c>
      <c r="H47" s="103">
        <v>43091</v>
      </c>
      <c r="I47" s="106">
        <v>2</v>
      </c>
      <c r="J47" s="104"/>
      <c r="K4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7" s="85">
        <v>4041</v>
      </c>
      <c r="M4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刘文明0%</v>
      </c>
      <c r="N47" s="65"/>
      <c r="O47" s="73"/>
      <c r="P47" s="67"/>
      <c r="Q47" s="63"/>
      <c r="R47" s="79">
        <v>43077.679259259261</v>
      </c>
      <c r="S47" s="69"/>
    </row>
    <row r="48" spans="2:19" ht="24.75" customHeight="1" x14ac:dyDescent="0.15">
      <c r="B48" s="107">
        <v>4041</v>
      </c>
      <c r="C48" s="85" t="s">
        <v>10</v>
      </c>
      <c r="D48" s="84" t="s">
        <v>124</v>
      </c>
      <c r="E48" s="60" t="str">
        <f>IFERROR(VLOOKUP(工单表[[#This Row],[责任人]],表3[[人员]:[岗位]],2,FALSE),"")</f>
        <v>前端</v>
      </c>
      <c r="F48" s="61">
        <v>4</v>
      </c>
      <c r="G48" s="85">
        <v>2</v>
      </c>
      <c r="H48" s="103">
        <v>43091</v>
      </c>
      <c r="I48" s="85">
        <v>2</v>
      </c>
      <c r="J48" s="106"/>
      <c r="K4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8" s="88">
        <v>4042</v>
      </c>
      <c r="M4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刘文明0%</v>
      </c>
      <c r="N48" s="65"/>
      <c r="O48" s="75"/>
      <c r="P48" s="67"/>
      <c r="Q48" s="63"/>
      <c r="R48" s="79">
        <v>43077.679259259261</v>
      </c>
      <c r="S48" s="69"/>
    </row>
    <row r="49" spans="2:19" ht="24.75" customHeight="1" x14ac:dyDescent="0.15">
      <c r="B49" s="107">
        <v>4042</v>
      </c>
      <c r="C49" s="105" t="s">
        <v>10</v>
      </c>
      <c r="D49" s="102" t="s">
        <v>126</v>
      </c>
      <c r="E49" s="60" t="str">
        <f>IFERROR(VLOOKUP(工单表[[#This Row],[责任人]],表3[[人员]:[岗位]],2,FALSE),"")</f>
        <v>前端</v>
      </c>
      <c r="F49" s="61">
        <v>4</v>
      </c>
      <c r="G49" s="85">
        <v>2</v>
      </c>
      <c r="H49" s="103">
        <v>43091</v>
      </c>
      <c r="I49" s="85">
        <v>2</v>
      </c>
      <c r="J49" s="106"/>
      <c r="K4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49" s="88"/>
      <c r="M4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49" s="72"/>
      <c r="O49" s="75"/>
      <c r="P49" s="74"/>
      <c r="Q49" s="70"/>
      <c r="R49" s="79">
        <v>43077.679259259261</v>
      </c>
      <c r="S49" s="69"/>
    </row>
    <row r="50" spans="2:19" ht="24.75" customHeight="1" x14ac:dyDescent="0.15">
      <c r="B50" s="107">
        <v>4043</v>
      </c>
      <c r="C50" s="105" t="s">
        <v>15</v>
      </c>
      <c r="D50" s="84" t="s">
        <v>127</v>
      </c>
      <c r="E50" s="60" t="str">
        <f>IFERROR(VLOOKUP(工单表[[#This Row],[责任人]],表3[[人员]:[岗位]],2,FALSE),"")</f>
        <v>UI</v>
      </c>
      <c r="F50" s="61">
        <v>4</v>
      </c>
      <c r="G50" s="105">
        <v>1</v>
      </c>
      <c r="H50" s="103">
        <v>43091</v>
      </c>
      <c r="I50" s="105">
        <v>1</v>
      </c>
      <c r="J50" s="106"/>
      <c r="K5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0" s="88"/>
      <c r="M5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0" s="65"/>
      <c r="O50" s="75"/>
      <c r="P50" s="67"/>
      <c r="Q50" s="63"/>
      <c r="R50" s="79">
        <v>43077.679259259261</v>
      </c>
      <c r="S50" s="69"/>
    </row>
    <row r="51" spans="2:19" ht="24.75" customHeight="1" x14ac:dyDescent="0.15">
      <c r="B51" s="107">
        <v>4044</v>
      </c>
      <c r="C51" s="85" t="s">
        <v>10</v>
      </c>
      <c r="D51" s="84" t="s">
        <v>128</v>
      </c>
      <c r="E51" s="60" t="str">
        <f>IFERROR(VLOOKUP(工单表[[#This Row],[责任人]],表3[[人员]:[岗位]],2,FALSE),"")</f>
        <v>前端</v>
      </c>
      <c r="F51" s="61">
        <v>4</v>
      </c>
      <c r="G51" s="105">
        <v>2</v>
      </c>
      <c r="H51" s="103">
        <v>43091</v>
      </c>
      <c r="I51" s="105">
        <v>2</v>
      </c>
      <c r="J51" s="106"/>
      <c r="K5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1" s="88">
        <v>4045</v>
      </c>
      <c r="M5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何送明0%</v>
      </c>
      <c r="N51" s="65"/>
      <c r="O51" s="75"/>
      <c r="P51" s="67"/>
      <c r="Q51" s="63"/>
      <c r="R51" s="79">
        <v>43077.679259259261</v>
      </c>
      <c r="S51" s="69"/>
    </row>
    <row r="52" spans="2:19" ht="24.75" customHeight="1" x14ac:dyDescent="0.15">
      <c r="B52" s="107">
        <v>4045</v>
      </c>
      <c r="C52" s="105" t="s">
        <v>13</v>
      </c>
      <c r="D52" s="84" t="s">
        <v>134</v>
      </c>
      <c r="E52" s="60" t="str">
        <f>IFERROR(VLOOKUP(工单表[[#This Row],[责任人]],表3[[人员]:[岗位]],2,FALSE),"")</f>
        <v>前端</v>
      </c>
      <c r="F52" s="71">
        <v>4</v>
      </c>
      <c r="G52" s="85">
        <v>2</v>
      </c>
      <c r="H52" s="103">
        <v>43091</v>
      </c>
      <c r="I52" s="85">
        <v>2</v>
      </c>
      <c r="J52" s="104"/>
      <c r="K5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2" s="85"/>
      <c r="M5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2" s="65"/>
      <c r="O52" s="73"/>
      <c r="P52" s="67"/>
      <c r="Q52" s="63"/>
      <c r="R52" s="79">
        <v>43077.679259259261</v>
      </c>
      <c r="S52" s="69"/>
    </row>
    <row r="53" spans="2:19" ht="24.75" customHeight="1" x14ac:dyDescent="0.15">
      <c r="B53" s="107">
        <v>4046</v>
      </c>
      <c r="C53" s="85" t="s">
        <v>13</v>
      </c>
      <c r="D53" s="111" t="s">
        <v>138</v>
      </c>
      <c r="E53" s="60" t="str">
        <f>IFERROR(VLOOKUP(工单表[[#This Row],[责任人]],表3[[人员]:[岗位]],2,FALSE),"")</f>
        <v>前端</v>
      </c>
      <c r="F53" s="61">
        <v>4</v>
      </c>
      <c r="G53" s="105">
        <v>1</v>
      </c>
      <c r="H53" s="103">
        <v>43091</v>
      </c>
      <c r="I53" s="105">
        <v>1</v>
      </c>
      <c r="J53" s="104"/>
      <c r="K5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3" s="85"/>
      <c r="M5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3" s="72"/>
      <c r="O53" s="73"/>
      <c r="P53" s="74"/>
      <c r="Q53" s="70"/>
      <c r="R53" s="79">
        <v>43077.679259259261</v>
      </c>
      <c r="S53" s="69"/>
    </row>
    <row r="54" spans="2:19" ht="24.75" customHeight="1" x14ac:dyDescent="0.15">
      <c r="B54" s="107">
        <v>4047</v>
      </c>
      <c r="C54" s="105" t="s">
        <v>0</v>
      </c>
      <c r="D54" s="111" t="s">
        <v>139</v>
      </c>
      <c r="E54" s="60" t="str">
        <f>IFERROR(VLOOKUP(工单表[[#This Row],[责任人]],表3[[人员]:[岗位]],2,FALSE),"")</f>
        <v>后端</v>
      </c>
      <c r="F54" s="61">
        <v>4</v>
      </c>
      <c r="G54" s="105">
        <v>1</v>
      </c>
      <c r="H54" s="103">
        <v>43091</v>
      </c>
      <c r="I54" s="105">
        <v>1</v>
      </c>
      <c r="J54" s="106"/>
      <c r="K5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4" s="88"/>
      <c r="M5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4" s="65"/>
      <c r="O54" s="75"/>
      <c r="P54" s="67"/>
      <c r="Q54" s="63"/>
      <c r="R54" s="79">
        <v>43077.679259259261</v>
      </c>
      <c r="S54" s="69"/>
    </row>
    <row r="55" spans="2:19" ht="24.75" customHeight="1" x14ac:dyDescent="0.15">
      <c r="B55" s="107">
        <v>4048</v>
      </c>
      <c r="C55" s="105" t="s">
        <v>13</v>
      </c>
      <c r="D55" s="101" t="s">
        <v>91</v>
      </c>
      <c r="E55" s="60" t="str">
        <f>IFERROR(VLOOKUP(工单表[[#This Row],[责任人]],表3[[人员]:[岗位]],2,FALSE),"")</f>
        <v>前端</v>
      </c>
      <c r="F55" s="61">
        <v>4</v>
      </c>
      <c r="G55" s="105">
        <v>1</v>
      </c>
      <c r="H55" s="103">
        <v>43091</v>
      </c>
      <c r="I55" s="105">
        <v>1</v>
      </c>
      <c r="J55" s="106"/>
      <c r="K5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5" s="88"/>
      <c r="M5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5" s="65"/>
      <c r="O55" s="75"/>
      <c r="P55" s="67"/>
      <c r="Q55" s="63"/>
      <c r="R55" s="79">
        <v>43077.679259259261</v>
      </c>
      <c r="S55" s="69"/>
    </row>
    <row r="56" spans="2:19" ht="24.75" customHeight="1" x14ac:dyDescent="0.15">
      <c r="B56" s="107">
        <v>4049</v>
      </c>
      <c r="C56" s="105" t="s">
        <v>15</v>
      </c>
      <c r="D56" s="98" t="s">
        <v>120</v>
      </c>
      <c r="E56" s="60" t="str">
        <f>IFERROR(VLOOKUP(工单表[[#This Row],[责任人]],表3[[人员]:[岗位]],2,FALSE),"")</f>
        <v>UI</v>
      </c>
      <c r="F56" s="61">
        <v>5</v>
      </c>
      <c r="G56" s="106">
        <v>1</v>
      </c>
      <c r="H56" s="103">
        <v>43091</v>
      </c>
      <c r="I56" s="106">
        <v>1</v>
      </c>
      <c r="J56" s="106"/>
      <c r="K5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6" s="88"/>
      <c r="M5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6" s="65"/>
      <c r="O56" s="75"/>
      <c r="P56" s="67"/>
      <c r="Q56" s="63"/>
      <c r="R56" s="79">
        <v>43077.679259259261</v>
      </c>
      <c r="S56" s="69"/>
    </row>
    <row r="57" spans="2:19" ht="24.75" customHeight="1" x14ac:dyDescent="0.15">
      <c r="B57" s="107">
        <v>4050</v>
      </c>
      <c r="C57" s="105" t="s">
        <v>13</v>
      </c>
      <c r="D57" s="98" t="s">
        <v>121</v>
      </c>
      <c r="E57" s="60" t="str">
        <f>IFERROR(VLOOKUP(工单表[[#This Row],[责任人]],表3[[人员]:[岗位]],2,FALSE),"")</f>
        <v>前端</v>
      </c>
      <c r="F57" s="71">
        <v>5</v>
      </c>
      <c r="G57" s="105">
        <v>2</v>
      </c>
      <c r="H57" s="103">
        <v>43091</v>
      </c>
      <c r="I57" s="105">
        <v>2</v>
      </c>
      <c r="J57" s="106"/>
      <c r="K5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7" s="88">
        <v>4054</v>
      </c>
      <c r="M5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石林0%</v>
      </c>
      <c r="N57" s="65"/>
      <c r="O57" s="66"/>
      <c r="P57" s="67"/>
      <c r="Q57" s="63"/>
      <c r="R57" s="79">
        <v>43077.679259259261</v>
      </c>
      <c r="S57" s="69"/>
    </row>
    <row r="58" spans="2:19" ht="24.75" customHeight="1" x14ac:dyDescent="0.15">
      <c r="B58" s="107">
        <v>4051</v>
      </c>
      <c r="C58" s="105" t="s">
        <v>14</v>
      </c>
      <c r="D58" s="98" t="s">
        <v>132</v>
      </c>
      <c r="E58" s="60" t="str">
        <f>IFERROR(VLOOKUP(工单表[[#This Row],[责任人]],表3[[人员]:[岗位]],2,FALSE),"")</f>
        <v>3D</v>
      </c>
      <c r="F58" s="61">
        <v>5</v>
      </c>
      <c r="G58" s="105">
        <v>1</v>
      </c>
      <c r="H58" s="103">
        <v>43091</v>
      </c>
      <c r="I58" s="105">
        <v>1</v>
      </c>
      <c r="J58" s="106"/>
      <c r="K5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8" s="88"/>
      <c r="M5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8" s="65"/>
      <c r="O58" s="66"/>
      <c r="P58" s="67"/>
      <c r="Q58" s="63"/>
      <c r="R58" s="79">
        <v>43077.679259259261</v>
      </c>
      <c r="S58" s="69"/>
    </row>
    <row r="59" spans="2:19" ht="24.75" customHeight="1" x14ac:dyDescent="0.15">
      <c r="B59" s="107">
        <v>4052</v>
      </c>
      <c r="C59" s="85" t="s">
        <v>12</v>
      </c>
      <c r="D59" s="98" t="s">
        <v>113</v>
      </c>
      <c r="E59" s="60" t="str">
        <f>IFERROR(VLOOKUP(工单表[[#This Row],[责任人]],表3[[人员]:[岗位]],2,FALSE),"")</f>
        <v>策划</v>
      </c>
      <c r="F59" s="61">
        <v>5</v>
      </c>
      <c r="G59" s="106">
        <v>8</v>
      </c>
      <c r="H59" s="103">
        <v>43091</v>
      </c>
      <c r="I59" s="106">
        <v>8</v>
      </c>
      <c r="J59" s="106"/>
      <c r="K5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59" s="88"/>
      <c r="M5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59" s="65"/>
      <c r="O59" s="75"/>
      <c r="P59" s="67"/>
      <c r="Q59" s="63"/>
      <c r="R59" s="79">
        <v>43077.679259259261</v>
      </c>
      <c r="S59" s="69"/>
    </row>
    <row r="60" spans="2:19" ht="24.75" customHeight="1" x14ac:dyDescent="0.15">
      <c r="B60" s="107">
        <v>4053</v>
      </c>
      <c r="C60" s="105" t="s">
        <v>12</v>
      </c>
      <c r="D60" s="84" t="s">
        <v>114</v>
      </c>
      <c r="E60" s="60" t="str">
        <f>IFERROR(VLOOKUP(工单表[[#This Row],[责任人]],表3[[人员]:[岗位]],2,FALSE),"")</f>
        <v>策划</v>
      </c>
      <c r="F60" s="61">
        <v>5</v>
      </c>
      <c r="G60" s="85">
        <v>2</v>
      </c>
      <c r="H60" s="103">
        <v>43091</v>
      </c>
      <c r="I60" s="85">
        <v>2</v>
      </c>
      <c r="J60" s="106"/>
      <c r="K6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0" s="88"/>
      <c r="M6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0" s="72"/>
      <c r="O60" s="75"/>
      <c r="P60" s="74"/>
      <c r="Q60" s="70"/>
      <c r="R60" s="79">
        <v>43077.679259259261</v>
      </c>
      <c r="S60" s="69"/>
    </row>
    <row r="61" spans="2:19" ht="24.75" customHeight="1" x14ac:dyDescent="0.15">
      <c r="B61" s="107">
        <v>4054</v>
      </c>
      <c r="C61" s="105" t="s">
        <v>14</v>
      </c>
      <c r="D61" s="98" t="s">
        <v>125</v>
      </c>
      <c r="E61" s="60" t="str">
        <f>IFERROR(VLOOKUP(工单表[[#This Row],[责任人]],表3[[人员]:[岗位]],2,FALSE),"")</f>
        <v>3D</v>
      </c>
      <c r="F61" s="61">
        <v>5</v>
      </c>
      <c r="G61" s="105">
        <v>4</v>
      </c>
      <c r="H61" s="103">
        <v>43091</v>
      </c>
      <c r="I61" s="105">
        <v>4</v>
      </c>
      <c r="J61" s="106"/>
      <c r="K6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1" s="88"/>
      <c r="M6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1" s="65"/>
      <c r="O61" s="75"/>
      <c r="P61" s="67"/>
      <c r="Q61" s="63"/>
      <c r="R61" s="79">
        <v>43077.679259259261</v>
      </c>
      <c r="S61" s="69"/>
    </row>
    <row r="62" spans="2:19" ht="24.75" customHeight="1" x14ac:dyDescent="0.15">
      <c r="B62" s="107">
        <v>4055</v>
      </c>
      <c r="C62" s="105" t="s">
        <v>11</v>
      </c>
      <c r="D62" s="112" t="s">
        <v>140</v>
      </c>
      <c r="E62" s="60" t="str">
        <f>IFERROR(VLOOKUP(工单表[[#This Row],[责任人]],表3[[人员]:[岗位]],2,FALSE),"")</f>
        <v>后端</v>
      </c>
      <c r="F62" s="61">
        <v>5</v>
      </c>
      <c r="G62" s="105">
        <v>16</v>
      </c>
      <c r="H62" s="103">
        <v>43091</v>
      </c>
      <c r="I62" s="105">
        <v>16</v>
      </c>
      <c r="J62" s="106"/>
      <c r="K6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2" s="88"/>
      <c r="M6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2" s="72"/>
      <c r="O62" s="75"/>
      <c r="P62" s="74"/>
      <c r="Q62" s="70"/>
      <c r="R62" s="79">
        <v>43077.679259259261</v>
      </c>
      <c r="S62" s="69"/>
    </row>
    <row r="63" spans="2:19" ht="24.75" customHeight="1" x14ac:dyDescent="0.15">
      <c r="B63" s="107">
        <v>4056</v>
      </c>
      <c r="C63" s="105" t="s">
        <v>13</v>
      </c>
      <c r="D63" s="111" t="s">
        <v>141</v>
      </c>
      <c r="E63" s="60" t="str">
        <f>IFERROR(VLOOKUP(工单表[[#This Row],[责任人]],表3[[人员]:[岗位]],2,FALSE),"")</f>
        <v>前端</v>
      </c>
      <c r="F63" s="61">
        <v>5</v>
      </c>
      <c r="G63" s="105">
        <v>4</v>
      </c>
      <c r="H63" s="103">
        <v>43091</v>
      </c>
      <c r="I63" s="105">
        <v>4</v>
      </c>
      <c r="J63" s="106"/>
      <c r="K6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3" s="88"/>
      <c r="M6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3" s="65"/>
      <c r="O63" s="75"/>
      <c r="P63" s="67"/>
      <c r="Q63" s="63"/>
      <c r="R63" s="79">
        <v>43077.679259259261</v>
      </c>
      <c r="S63" s="69"/>
    </row>
    <row r="64" spans="2:19" ht="24.75" customHeight="1" x14ac:dyDescent="0.15">
      <c r="B64" s="107">
        <v>4057</v>
      </c>
      <c r="C64" s="105" t="s">
        <v>12</v>
      </c>
      <c r="D64" s="112" t="s">
        <v>142</v>
      </c>
      <c r="E64" s="60" t="str">
        <f>IFERROR(VLOOKUP(工单表[[#This Row],[责任人]],表3[[人员]:[岗位]],2,FALSE),"")</f>
        <v>策划</v>
      </c>
      <c r="F64" s="61">
        <v>5</v>
      </c>
      <c r="G64" s="105">
        <v>24</v>
      </c>
      <c r="H64" s="103">
        <v>43091</v>
      </c>
      <c r="I64" s="105">
        <v>24</v>
      </c>
      <c r="J64" s="106"/>
      <c r="K6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4" s="88"/>
      <c r="M6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4" s="72"/>
      <c r="O64" s="75"/>
      <c r="P64" s="74"/>
      <c r="Q64" s="70"/>
      <c r="R64" s="79">
        <v>43077.679259259261</v>
      </c>
      <c r="S64" s="69"/>
    </row>
    <row r="65" spans="2:19" ht="24.75" customHeight="1" x14ac:dyDescent="0.15">
      <c r="B65" s="107">
        <v>4058</v>
      </c>
      <c r="C65" s="105" t="s">
        <v>11</v>
      </c>
      <c r="D65" s="84" t="s">
        <v>116</v>
      </c>
      <c r="E65" s="60" t="str">
        <f>IFERROR(VLOOKUP(工单表[[#This Row],[责任人]],表3[[人员]:[岗位]],2,FALSE),"")</f>
        <v>后端</v>
      </c>
      <c r="F65" s="61">
        <v>5</v>
      </c>
      <c r="G65" s="106">
        <v>8</v>
      </c>
      <c r="H65" s="103">
        <v>43091</v>
      </c>
      <c r="I65" s="106">
        <v>2</v>
      </c>
      <c r="J65" s="104">
        <v>0</v>
      </c>
      <c r="K6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5" s="85"/>
      <c r="M6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5" s="72"/>
      <c r="O65" s="73"/>
      <c r="P65" s="74"/>
      <c r="Q65" s="70"/>
      <c r="R65" s="79">
        <v>43077.679259259261</v>
      </c>
      <c r="S65" s="69"/>
    </row>
    <row r="66" spans="2:19" ht="24.75" customHeight="1" x14ac:dyDescent="0.15">
      <c r="B66" s="107">
        <v>4059</v>
      </c>
      <c r="C66" s="85" t="s">
        <v>0</v>
      </c>
      <c r="D66" s="98" t="s">
        <v>115</v>
      </c>
      <c r="E66" s="60" t="str">
        <f>IFERROR(VLOOKUP(工单表[[#This Row],[责任人]],表3[[人员]:[岗位]],2,FALSE),"")</f>
        <v>后端</v>
      </c>
      <c r="F66" s="61">
        <v>5</v>
      </c>
      <c r="G66" s="105">
        <v>8</v>
      </c>
      <c r="H66" s="103">
        <v>43091</v>
      </c>
      <c r="I66" s="105">
        <v>8</v>
      </c>
      <c r="J66" s="106">
        <v>0</v>
      </c>
      <c r="K6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6" s="88"/>
      <c r="M6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6" s="72"/>
      <c r="O66" s="75"/>
      <c r="P66" s="74"/>
      <c r="Q66" s="70"/>
      <c r="R66" s="79">
        <v>43077.679259259261</v>
      </c>
      <c r="S66" s="69"/>
    </row>
    <row r="67" spans="2:19" ht="24.75" customHeight="1" x14ac:dyDescent="0.15">
      <c r="B67" s="107">
        <v>4060</v>
      </c>
      <c r="C67" s="105" t="s">
        <v>10</v>
      </c>
      <c r="D67" s="84" t="s">
        <v>111</v>
      </c>
      <c r="E67" s="60" t="str">
        <f>IFERROR(VLOOKUP(工单表[[#This Row],[责任人]],表3[[人员]:[岗位]],2,FALSE),"")</f>
        <v>前端</v>
      </c>
      <c r="F67" s="61">
        <v>5</v>
      </c>
      <c r="G67" s="105">
        <v>4</v>
      </c>
      <c r="H67" s="103">
        <v>43091</v>
      </c>
      <c r="I67" s="105">
        <v>4</v>
      </c>
      <c r="J67" s="104">
        <v>0</v>
      </c>
      <c r="K6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7" s="85"/>
      <c r="M6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7" s="72"/>
      <c r="O67" s="73"/>
      <c r="P67" s="74"/>
      <c r="Q67" s="70"/>
      <c r="R67" s="79">
        <v>43077.679259259261</v>
      </c>
      <c r="S67" s="69"/>
    </row>
    <row r="68" spans="2:19" ht="24.75" customHeight="1" x14ac:dyDescent="0.15">
      <c r="B68" s="107">
        <v>4061</v>
      </c>
      <c r="C68" s="105" t="s">
        <v>10</v>
      </c>
      <c r="D68" s="98" t="s">
        <v>112</v>
      </c>
      <c r="E68" s="60" t="str">
        <f>IFERROR(VLOOKUP(工单表[[#This Row],[责任人]],表3[[人员]:[岗位]],2,FALSE),"")</f>
        <v>前端</v>
      </c>
      <c r="F68" s="61">
        <v>5</v>
      </c>
      <c r="G68" s="105">
        <v>2</v>
      </c>
      <c r="H68" s="103">
        <v>43091</v>
      </c>
      <c r="I68" s="105">
        <v>2</v>
      </c>
      <c r="J68" s="106">
        <v>0</v>
      </c>
      <c r="K6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8" s="88"/>
      <c r="M6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8" s="72"/>
      <c r="O68" s="75"/>
      <c r="P68" s="74"/>
      <c r="Q68" s="70"/>
      <c r="R68" s="79">
        <v>43077.679259259261</v>
      </c>
      <c r="S68" s="69"/>
    </row>
    <row r="69" spans="2:19" ht="24.75" customHeight="1" x14ac:dyDescent="0.15">
      <c r="B69" s="107">
        <v>4062</v>
      </c>
      <c r="C69" s="85" t="s">
        <v>15</v>
      </c>
      <c r="D69" s="102" t="s">
        <v>129</v>
      </c>
      <c r="E69" s="60" t="str">
        <f>IFERROR(VLOOKUP(工单表[[#This Row],[责任人]],表3[[人员]:[岗位]],2,FALSE),"")</f>
        <v>UI</v>
      </c>
      <c r="F69" s="71">
        <v>6</v>
      </c>
      <c r="G69" s="85">
        <v>4</v>
      </c>
      <c r="H69" s="91"/>
      <c r="I69" s="85">
        <v>4</v>
      </c>
      <c r="J69" s="104"/>
      <c r="K6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69" s="85"/>
      <c r="M6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69" s="65"/>
      <c r="O69" s="73"/>
      <c r="P69" s="67"/>
      <c r="Q69" s="63"/>
      <c r="R69" s="79">
        <v>43077.679259259261</v>
      </c>
      <c r="S69" s="69"/>
    </row>
    <row r="70" spans="2:19" ht="24.75" customHeight="1" x14ac:dyDescent="0.15">
      <c r="B70" s="107">
        <v>4063</v>
      </c>
      <c r="C70" s="85" t="s">
        <v>13</v>
      </c>
      <c r="D70" s="102" t="s">
        <v>130</v>
      </c>
      <c r="E70" s="60" t="str">
        <f>IFERROR(VLOOKUP(工单表[[#This Row],[责任人]],表3[[人员]:[岗位]],2,FALSE),"")</f>
        <v>前端</v>
      </c>
      <c r="F70" s="71">
        <v>6</v>
      </c>
      <c r="G70" s="85">
        <v>8</v>
      </c>
      <c r="H70" s="91"/>
      <c r="I70" s="85">
        <v>8</v>
      </c>
      <c r="J70" s="106"/>
      <c r="K7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0" s="88">
        <v>4062</v>
      </c>
      <c r="M7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吴有莎0%</v>
      </c>
      <c r="N70" s="65"/>
      <c r="O70" s="75"/>
      <c r="P70" s="67"/>
      <c r="Q70" s="63"/>
      <c r="R70" s="79">
        <v>43077.679259259261</v>
      </c>
      <c r="S70" s="69"/>
    </row>
    <row r="71" spans="2:19" ht="24.75" customHeight="1" x14ac:dyDescent="0.15">
      <c r="B71" s="107">
        <v>4064</v>
      </c>
      <c r="C71" s="105" t="s">
        <v>11</v>
      </c>
      <c r="D71" s="102" t="s">
        <v>131</v>
      </c>
      <c r="E71" s="60" t="str">
        <f>IFERROR(VLOOKUP(工单表[[#This Row],[责任人]],表3[[人员]:[岗位]],2,FALSE),"")</f>
        <v>后端</v>
      </c>
      <c r="F71" s="61">
        <v>6</v>
      </c>
      <c r="G71" s="105">
        <v>8</v>
      </c>
      <c r="H71" s="91"/>
      <c r="I71" s="105">
        <v>8</v>
      </c>
      <c r="J71" s="106"/>
      <c r="K7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1" s="88">
        <v>4063</v>
      </c>
      <c r="M7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>何送明0%</v>
      </c>
      <c r="N71" s="65"/>
      <c r="O71" s="75"/>
      <c r="P71" s="67"/>
      <c r="Q71" s="63"/>
      <c r="R71" s="79">
        <v>43077.679259259261</v>
      </c>
      <c r="S71" s="69"/>
    </row>
    <row r="72" spans="2:19" ht="24.75" customHeight="1" x14ac:dyDescent="0.15">
      <c r="B72" s="107">
        <v>4065</v>
      </c>
      <c r="C72" s="105" t="s">
        <v>12</v>
      </c>
      <c r="D72" s="101" t="s">
        <v>100</v>
      </c>
      <c r="E72" s="60" t="str">
        <f>IFERROR(VLOOKUP(工单表[[#This Row],[责任人]],表3[[人员]:[岗位]],2,FALSE),"")</f>
        <v>策划</v>
      </c>
      <c r="F72" s="61">
        <v>6</v>
      </c>
      <c r="G72" s="105">
        <v>16</v>
      </c>
      <c r="H72" s="91"/>
      <c r="I72" s="105">
        <v>16</v>
      </c>
      <c r="J72" s="106">
        <v>0</v>
      </c>
      <c r="K7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2" s="88"/>
      <c r="M7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2" s="65"/>
      <c r="O72" s="75"/>
      <c r="P72" s="67"/>
      <c r="Q72" s="63"/>
      <c r="R72" s="79">
        <v>43077.679259259261</v>
      </c>
      <c r="S72" s="69"/>
    </row>
    <row r="73" spans="2:19" ht="24.75" customHeight="1" x14ac:dyDescent="0.15">
      <c r="B73" s="107">
        <v>4066</v>
      </c>
      <c r="C73" s="105" t="s">
        <v>15</v>
      </c>
      <c r="D73" s="101" t="s">
        <v>101</v>
      </c>
      <c r="E73" s="60" t="str">
        <f>IFERROR(VLOOKUP(工单表[[#This Row],[责任人]],表3[[人员]:[岗位]],2,FALSE),"")</f>
        <v>UI</v>
      </c>
      <c r="F73" s="61">
        <v>6</v>
      </c>
      <c r="G73" s="105">
        <v>8</v>
      </c>
      <c r="H73" s="91"/>
      <c r="I73" s="105">
        <v>8</v>
      </c>
      <c r="J73" s="106"/>
      <c r="K7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3" s="88"/>
      <c r="M7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3" s="72"/>
      <c r="O73" s="75"/>
      <c r="P73" s="74"/>
      <c r="Q73" s="70"/>
      <c r="R73" s="79">
        <v>43077.679259259261</v>
      </c>
      <c r="S73" s="69"/>
    </row>
    <row r="74" spans="2:19" ht="24.75" customHeight="1" x14ac:dyDescent="0.15">
      <c r="B74" s="107">
        <v>4067</v>
      </c>
      <c r="C74" s="105" t="s">
        <v>13</v>
      </c>
      <c r="D74" s="101" t="s">
        <v>109</v>
      </c>
      <c r="E74" s="60" t="str">
        <f>IFERROR(VLOOKUP(工单表[[#This Row],[责任人]],表3[[人员]:[岗位]],2,FALSE),"")</f>
        <v>前端</v>
      </c>
      <c r="F74" s="61">
        <v>6</v>
      </c>
      <c r="G74" s="85">
        <v>8</v>
      </c>
      <c r="H74" s="103"/>
      <c r="I74" s="85">
        <v>8</v>
      </c>
      <c r="J74" s="104"/>
      <c r="K7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4" s="85"/>
      <c r="M7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4" s="65"/>
      <c r="O74" s="73"/>
      <c r="P74" s="67"/>
      <c r="Q74" s="63"/>
      <c r="R74" s="79">
        <v>43077.679259259261</v>
      </c>
      <c r="S74" s="69"/>
    </row>
    <row r="75" spans="2:19" ht="24.75" customHeight="1" x14ac:dyDescent="0.15">
      <c r="B75" s="107">
        <v>4068</v>
      </c>
      <c r="C75" s="105" t="s">
        <v>11</v>
      </c>
      <c r="D75" s="101" t="s">
        <v>110</v>
      </c>
      <c r="E75" s="60" t="str">
        <f>IFERROR(VLOOKUP(工单表[[#This Row],[责任人]],表3[[人员]:[岗位]],2,FALSE),"")</f>
        <v>后端</v>
      </c>
      <c r="F75" s="61">
        <v>6</v>
      </c>
      <c r="G75" s="105">
        <v>16</v>
      </c>
      <c r="H75" s="103"/>
      <c r="I75" s="105">
        <v>16</v>
      </c>
      <c r="J75" s="104"/>
      <c r="K7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5" s="85"/>
      <c r="M7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5" s="65"/>
      <c r="O75" s="73"/>
      <c r="P75" s="67"/>
      <c r="Q75" s="63"/>
      <c r="R75" s="79">
        <v>43077.679259259261</v>
      </c>
      <c r="S75" s="69"/>
    </row>
    <row r="76" spans="2:19" ht="24.75" customHeight="1" x14ac:dyDescent="0.15">
      <c r="B76" s="107">
        <v>4076</v>
      </c>
      <c r="C76" s="105" t="s">
        <v>12</v>
      </c>
      <c r="D76" s="101" t="s">
        <v>92</v>
      </c>
      <c r="E76" s="60" t="str">
        <f>IFERROR(VLOOKUP(工单表[[#This Row],[责任人]],表3[[人员]:[岗位]],2,FALSE),"")</f>
        <v>策划</v>
      </c>
      <c r="F76" s="61">
        <v>6</v>
      </c>
      <c r="G76" s="105">
        <v>8</v>
      </c>
      <c r="H76" s="91"/>
      <c r="I76" s="92">
        <v>8</v>
      </c>
      <c r="J76" s="106"/>
      <c r="K7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6" s="88"/>
      <c r="M7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6" s="72"/>
      <c r="O76" s="75"/>
      <c r="P76" s="74"/>
      <c r="Q76" s="70"/>
      <c r="R76" s="79">
        <v>43077.679259259261</v>
      </c>
      <c r="S76" s="69"/>
    </row>
    <row r="77" spans="2:19" ht="24.75" customHeight="1" x14ac:dyDescent="0.15">
      <c r="B77" s="107">
        <v>4077</v>
      </c>
      <c r="C77" s="105" t="s">
        <v>15</v>
      </c>
      <c r="D77" s="101" t="s">
        <v>93</v>
      </c>
      <c r="E77" s="60" t="str">
        <f>IFERROR(VLOOKUP(工单表[[#This Row],[责任人]],表3[[人员]:[岗位]],2,FALSE),"")</f>
        <v>UI</v>
      </c>
      <c r="F77" s="61">
        <v>6</v>
      </c>
      <c r="G77" s="105">
        <v>8</v>
      </c>
      <c r="H77" s="91"/>
      <c r="I77" s="92">
        <v>8</v>
      </c>
      <c r="J77" s="106"/>
      <c r="K7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7" s="88"/>
      <c r="M7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7" s="65"/>
      <c r="O77" s="75"/>
      <c r="P77" s="67"/>
      <c r="Q77" s="63"/>
      <c r="R77" s="79">
        <v>43077.679259259261</v>
      </c>
      <c r="S77" s="69"/>
    </row>
    <row r="78" spans="2:19" ht="24.75" customHeight="1" x14ac:dyDescent="0.15">
      <c r="B78" s="107">
        <v>4078</v>
      </c>
      <c r="C78" s="105" t="s">
        <v>13</v>
      </c>
      <c r="D78" s="101" t="s">
        <v>94</v>
      </c>
      <c r="E78" s="60" t="str">
        <f>IFERROR(VLOOKUP(工单表[[#This Row],[责任人]],表3[[人员]:[岗位]],2,FALSE),"")</f>
        <v>前端</v>
      </c>
      <c r="F78" s="61">
        <v>6</v>
      </c>
      <c r="G78" s="105">
        <v>8</v>
      </c>
      <c r="H78" s="91"/>
      <c r="I78" s="92">
        <v>8</v>
      </c>
      <c r="J78" s="106"/>
      <c r="K7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8" s="88"/>
      <c r="M7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8" s="65"/>
      <c r="O78" s="66"/>
      <c r="P78" s="67"/>
      <c r="Q78" s="63"/>
      <c r="R78" s="79">
        <v>43077.679259259261</v>
      </c>
      <c r="S78" s="69"/>
    </row>
    <row r="79" spans="2:19" ht="24.75" customHeight="1" x14ac:dyDescent="0.15">
      <c r="B79" s="107">
        <v>4079</v>
      </c>
      <c r="C79" s="105" t="s">
        <v>11</v>
      </c>
      <c r="D79" s="101" t="s">
        <v>95</v>
      </c>
      <c r="E79" s="60" t="str">
        <f>IFERROR(VLOOKUP(工单表[[#This Row],[责任人]],表3[[人员]:[岗位]],2,FALSE),"")</f>
        <v>后端</v>
      </c>
      <c r="F79" s="61">
        <v>6</v>
      </c>
      <c r="G79" s="105">
        <v>8</v>
      </c>
      <c r="H79" s="91"/>
      <c r="I79" s="92">
        <v>8</v>
      </c>
      <c r="J79" s="106"/>
      <c r="K7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79" s="88"/>
      <c r="M7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79" s="65"/>
      <c r="O79" s="75"/>
      <c r="P79" s="67"/>
      <c r="Q79" s="63"/>
      <c r="R79" s="79">
        <v>43077.679259259261</v>
      </c>
      <c r="S79" s="69"/>
    </row>
    <row r="80" spans="2:19" ht="24.75" customHeight="1" x14ac:dyDescent="0.15">
      <c r="B80" s="107">
        <v>4069</v>
      </c>
      <c r="C80" s="85" t="s">
        <v>12</v>
      </c>
      <c r="D80" s="98" t="s">
        <v>96</v>
      </c>
      <c r="E80" s="60" t="str">
        <f>IFERROR(VLOOKUP(工单表[[#This Row],[责任人]],表3[[人员]:[岗位]],2,FALSE),"")</f>
        <v>策划</v>
      </c>
      <c r="F80" s="61">
        <v>7</v>
      </c>
      <c r="G80" s="104">
        <v>16</v>
      </c>
      <c r="H80" s="91"/>
      <c r="I80" s="104">
        <v>16</v>
      </c>
      <c r="J80" s="92"/>
      <c r="K8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0" s="88"/>
      <c r="M8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0" s="65"/>
      <c r="O80" s="73"/>
      <c r="P80" s="67"/>
      <c r="Q80" s="63"/>
      <c r="R80" s="79">
        <v>43077.679259259261</v>
      </c>
      <c r="S80" s="69"/>
    </row>
    <row r="81" spans="2:19" ht="24.75" customHeight="1" x14ac:dyDescent="0.15">
      <c r="B81" s="107">
        <v>4070</v>
      </c>
      <c r="C81" s="85" t="s">
        <v>15</v>
      </c>
      <c r="D81" s="101" t="s">
        <v>97</v>
      </c>
      <c r="E81" s="60" t="str">
        <f>IFERROR(VLOOKUP(工单表[[#This Row],[责任人]],表3[[人员]:[岗位]],2,FALSE),"")</f>
        <v>UI</v>
      </c>
      <c r="F81" s="61">
        <v>7</v>
      </c>
      <c r="G81" s="105">
        <v>8</v>
      </c>
      <c r="H81" s="91"/>
      <c r="I81" s="105">
        <v>8</v>
      </c>
      <c r="J81" s="92"/>
      <c r="K8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1" s="88"/>
      <c r="M8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1" s="65"/>
      <c r="O81" s="73"/>
      <c r="P81" s="67"/>
      <c r="Q81" s="63"/>
      <c r="R81" s="79">
        <v>43077.679259259261</v>
      </c>
      <c r="S81" s="69"/>
    </row>
    <row r="82" spans="2:19" ht="24.75" customHeight="1" x14ac:dyDescent="0.15">
      <c r="B82" s="107">
        <v>4071</v>
      </c>
      <c r="C82" s="85" t="s">
        <v>13</v>
      </c>
      <c r="D82" s="101" t="s">
        <v>98</v>
      </c>
      <c r="E82" s="60" t="str">
        <f>IFERROR(VLOOKUP(工单表[[#This Row],[责任人]],表3[[人员]:[岗位]],2,FALSE),"")</f>
        <v>前端</v>
      </c>
      <c r="F82" s="61">
        <v>7</v>
      </c>
      <c r="G82" s="105">
        <v>24</v>
      </c>
      <c r="H82" s="91"/>
      <c r="I82" s="105">
        <v>24</v>
      </c>
      <c r="J82" s="106"/>
      <c r="K82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2" s="88"/>
      <c r="M8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2" s="65"/>
      <c r="O82" s="75"/>
      <c r="P82" s="67"/>
      <c r="Q82" s="63"/>
      <c r="R82" s="79">
        <v>43077.679259259261</v>
      </c>
      <c r="S82" s="69"/>
    </row>
    <row r="83" spans="2:19" ht="24.75" customHeight="1" x14ac:dyDescent="0.15">
      <c r="B83" s="107">
        <v>4072</v>
      </c>
      <c r="C83" s="85" t="s">
        <v>13</v>
      </c>
      <c r="D83" s="101" t="s">
        <v>99</v>
      </c>
      <c r="E83" s="60" t="str">
        <f>IFERROR(VLOOKUP(工单表[[#This Row],[责任人]],表3[[人员]:[岗位]],2,FALSE),"")</f>
        <v>前端</v>
      </c>
      <c r="F83" s="61">
        <v>7</v>
      </c>
      <c r="G83" s="105">
        <v>24</v>
      </c>
      <c r="H83" s="91"/>
      <c r="I83" s="105">
        <v>24</v>
      </c>
      <c r="J83" s="106"/>
      <c r="K83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3" s="88"/>
      <c r="M8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3" s="65"/>
      <c r="O83" s="75"/>
      <c r="P83" s="67"/>
      <c r="Q83" s="63"/>
      <c r="R83" s="79">
        <v>43077.679259259261</v>
      </c>
      <c r="S83" s="69"/>
    </row>
    <row r="84" spans="2:19" ht="24.75" customHeight="1" x14ac:dyDescent="0.15">
      <c r="B84" s="107">
        <v>4073</v>
      </c>
      <c r="C84" s="85" t="s">
        <v>14</v>
      </c>
      <c r="D84" s="101" t="s">
        <v>108</v>
      </c>
      <c r="E84" s="60" t="str">
        <f>IFERROR(VLOOKUP(工单表[[#This Row],[责任人]],表3[[人员]:[岗位]],2,FALSE),"")</f>
        <v>3D</v>
      </c>
      <c r="F84" s="61">
        <v>7</v>
      </c>
      <c r="G84" s="85">
        <v>4</v>
      </c>
      <c r="H84" s="91"/>
      <c r="I84" s="85">
        <v>4</v>
      </c>
      <c r="J84" s="104"/>
      <c r="K84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4" s="85"/>
      <c r="M8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4" s="65"/>
      <c r="O84" s="73"/>
      <c r="P84" s="67"/>
      <c r="Q84" s="63"/>
      <c r="R84" s="79">
        <v>43077.679259259261</v>
      </c>
      <c r="S84" s="69"/>
    </row>
    <row r="85" spans="2:19" ht="24.75" customHeight="1" x14ac:dyDescent="0.15">
      <c r="B85" s="107">
        <v>4074</v>
      </c>
      <c r="C85" s="105" t="s">
        <v>12</v>
      </c>
      <c r="D85" s="101" t="s">
        <v>102</v>
      </c>
      <c r="E85" s="60" t="str">
        <f>IFERROR(VLOOKUP(工单表[[#This Row],[责任人]],表3[[人员]:[岗位]],2,FALSE),"")</f>
        <v>策划</v>
      </c>
      <c r="F85" s="71">
        <v>8</v>
      </c>
      <c r="G85" s="85">
        <v>16</v>
      </c>
      <c r="H85" s="91"/>
      <c r="I85" s="85">
        <v>16</v>
      </c>
      <c r="J85" s="104"/>
      <c r="K85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5" s="85"/>
      <c r="M8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5" s="65"/>
      <c r="O85" s="73"/>
      <c r="P85" s="67"/>
      <c r="Q85" s="63"/>
      <c r="R85" s="79">
        <v>43077.679259259261</v>
      </c>
      <c r="S85" s="69"/>
    </row>
    <row r="86" spans="2:19" ht="24.75" customHeight="1" x14ac:dyDescent="0.15">
      <c r="B86" s="107">
        <v>4075</v>
      </c>
      <c r="C86" s="85" t="s">
        <v>15</v>
      </c>
      <c r="D86" s="101" t="s">
        <v>103</v>
      </c>
      <c r="E86" s="60" t="str">
        <f>IFERROR(VLOOKUP(工单表[[#This Row],[责任人]],表3[[人员]:[岗位]],2,FALSE),"")</f>
        <v>UI</v>
      </c>
      <c r="F86" s="71">
        <v>8</v>
      </c>
      <c r="G86" s="92">
        <v>8</v>
      </c>
      <c r="H86" s="91"/>
      <c r="I86" s="92">
        <v>8</v>
      </c>
      <c r="J86" s="106"/>
      <c r="K8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6" s="88"/>
      <c r="M8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6" s="72"/>
      <c r="O86" s="75"/>
      <c r="P86" s="74"/>
      <c r="Q86" s="70"/>
      <c r="R86" s="79">
        <v>43077.679259259261</v>
      </c>
      <c r="S86" s="69"/>
    </row>
    <row r="87" spans="2:19" ht="24.75" customHeight="1" x14ac:dyDescent="0.15">
      <c r="B87" s="107">
        <v>4080</v>
      </c>
      <c r="C87" s="105" t="s">
        <v>12</v>
      </c>
      <c r="D87" s="101" t="s">
        <v>104</v>
      </c>
      <c r="E87" s="60" t="str">
        <f>IFERROR(VLOOKUP(工单表[[#This Row],[责任人]],表3[[人员]:[岗位]],2,FALSE),"")</f>
        <v>策划</v>
      </c>
      <c r="F87" s="61">
        <v>9</v>
      </c>
      <c r="G87" s="105">
        <v>16</v>
      </c>
      <c r="H87" s="91"/>
      <c r="I87" s="105">
        <v>16</v>
      </c>
      <c r="J87" s="104"/>
      <c r="K87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7" s="85"/>
      <c r="M8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7" s="72"/>
      <c r="O87" s="73"/>
      <c r="P87" s="74"/>
      <c r="Q87" s="70"/>
      <c r="R87" s="79">
        <v>43077.679259259261</v>
      </c>
      <c r="S87" s="69"/>
    </row>
    <row r="88" spans="2:19" ht="24.75" customHeight="1" x14ac:dyDescent="0.15">
      <c r="B88" s="107">
        <v>4081</v>
      </c>
      <c r="C88" s="105" t="s">
        <v>15</v>
      </c>
      <c r="D88" s="101" t="s">
        <v>105</v>
      </c>
      <c r="E88" s="60" t="str">
        <f>IFERROR(VLOOKUP(工单表[[#This Row],[责任人]],表3[[人员]:[岗位]],2,FALSE),"")</f>
        <v>UI</v>
      </c>
      <c r="F88" s="61">
        <v>9</v>
      </c>
      <c r="G88" s="88">
        <v>8</v>
      </c>
      <c r="H88" s="91"/>
      <c r="I88" s="88">
        <v>8</v>
      </c>
      <c r="J88" s="106"/>
      <c r="K8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8" s="88"/>
      <c r="M8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8" s="65"/>
      <c r="O88" s="75"/>
      <c r="P88" s="67"/>
      <c r="Q88" s="63"/>
      <c r="R88" s="79">
        <v>43077.679259259261</v>
      </c>
      <c r="S88" s="69"/>
    </row>
    <row r="89" spans="2:19" ht="24.75" customHeight="1" x14ac:dyDescent="0.15">
      <c r="B89" s="107">
        <v>4082</v>
      </c>
      <c r="C89" s="105" t="s">
        <v>28</v>
      </c>
      <c r="D89" s="101" t="s">
        <v>146</v>
      </c>
      <c r="E89" s="60" t="str">
        <f>IFERROR(VLOOKUP(工单表[[#This Row],[责任人]],表3[[人员]:[岗位]],2,FALSE),"")</f>
        <v>原画</v>
      </c>
      <c r="F89" s="61">
        <v>9</v>
      </c>
      <c r="G89" s="105">
        <v>24</v>
      </c>
      <c r="H89" s="91"/>
      <c r="I89" s="105">
        <v>24</v>
      </c>
      <c r="J89" s="106"/>
      <c r="K8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89" s="88"/>
      <c r="M8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89" s="72"/>
      <c r="O89" s="75"/>
      <c r="P89" s="74"/>
      <c r="Q89" s="70"/>
      <c r="R89" s="79">
        <v>43077.679259259261</v>
      </c>
      <c r="S89" s="69"/>
    </row>
    <row r="90" spans="2:19" ht="24.75" customHeight="1" x14ac:dyDescent="0.15">
      <c r="B90" s="107">
        <v>4083</v>
      </c>
      <c r="C90" s="105" t="s">
        <v>13</v>
      </c>
      <c r="D90" s="101" t="s">
        <v>106</v>
      </c>
      <c r="E90" s="60" t="str">
        <f>IFERROR(VLOOKUP(工单表[[#This Row],[责任人]],表3[[人员]:[岗位]],2,FALSE),"")</f>
        <v>前端</v>
      </c>
      <c r="F90" s="71">
        <v>9</v>
      </c>
      <c r="G90" s="85">
        <v>8</v>
      </c>
      <c r="H90" s="91"/>
      <c r="I90" s="85">
        <v>8</v>
      </c>
      <c r="J90" s="104"/>
      <c r="K9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90" s="85"/>
      <c r="M9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0" s="72"/>
      <c r="O90" s="73"/>
      <c r="P90" s="74"/>
      <c r="Q90" s="70"/>
      <c r="R90" s="79">
        <v>43077.679259259261</v>
      </c>
      <c r="S90" s="69"/>
    </row>
    <row r="91" spans="2:19" ht="24.75" customHeight="1" x14ac:dyDescent="0.15">
      <c r="B91" s="107">
        <v>4084</v>
      </c>
      <c r="C91" s="105" t="s">
        <v>0</v>
      </c>
      <c r="D91" s="101" t="s">
        <v>107</v>
      </c>
      <c r="E91" s="60" t="str">
        <f>IFERROR(VLOOKUP(工单表[[#This Row],[责任人]],表3[[人员]:[岗位]],2,FALSE),"")</f>
        <v>后端</v>
      </c>
      <c r="F91" s="61">
        <v>9</v>
      </c>
      <c r="G91" s="85">
        <v>8</v>
      </c>
      <c r="H91" s="91"/>
      <c r="I91" s="85">
        <v>8</v>
      </c>
      <c r="J91" s="104"/>
      <c r="K91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91" s="85"/>
      <c r="M9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1" s="65"/>
      <c r="O91" s="73"/>
      <c r="P91" s="67"/>
      <c r="Q91" s="63"/>
      <c r="R91" s="79">
        <v>43077.679259259261</v>
      </c>
      <c r="S91" s="69"/>
    </row>
    <row r="92" spans="2:19" ht="24.75" customHeight="1" x14ac:dyDescent="0.15">
      <c r="B92" s="107">
        <v>4087</v>
      </c>
      <c r="C92" s="85" t="s">
        <v>11</v>
      </c>
      <c r="D92" s="101" t="s">
        <v>147</v>
      </c>
      <c r="E92" s="60" t="str">
        <f>IFERROR(VLOOKUP(工单表[[#This Row],[责任人]],表3[[人员]:[岗位]],2,FALSE),"")</f>
        <v>后端</v>
      </c>
      <c r="F92" s="71"/>
      <c r="G92" s="85">
        <v>0</v>
      </c>
      <c r="H92" s="91"/>
      <c r="I92" s="85">
        <v>4</v>
      </c>
      <c r="J92" s="104">
        <v>4</v>
      </c>
      <c r="K92" s="62">
        <f>IF(工单表[[#This Row],[验收备注]]="已关闭",1,IFERROR(工单表[[#This Row],[耗时]]/IF(工单表[[#This Row],[新估时]]&gt;0,工单表[[#This Row],[新估时]],工单表[[#This Row],[原估时]]),""))</f>
        <v>1</v>
      </c>
      <c r="L92" s="85"/>
      <c r="M9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2" s="65"/>
      <c r="O92" s="73" t="s">
        <v>148</v>
      </c>
      <c r="P92" s="67"/>
      <c r="Q92" s="63" t="s">
        <v>149</v>
      </c>
      <c r="R92" s="68">
        <v>43077.756030092591</v>
      </c>
      <c r="S92" s="69"/>
    </row>
    <row r="93" spans="2:19" ht="24.75" customHeight="1" x14ac:dyDescent="0.15">
      <c r="B93" s="108">
        <v>4088</v>
      </c>
      <c r="C93" s="105" t="s">
        <v>11</v>
      </c>
      <c r="D93" s="101" t="s">
        <v>150</v>
      </c>
      <c r="E93" s="60" t="str">
        <f>IFERROR(VLOOKUP(工单表[[#This Row],[责任人]],表3[[人员]:[岗位]],2,FALSE),"")</f>
        <v>后端</v>
      </c>
      <c r="F93" s="61"/>
      <c r="G93" s="105">
        <v>0</v>
      </c>
      <c r="H93" s="91"/>
      <c r="I93" s="105">
        <v>8</v>
      </c>
      <c r="J93" s="106">
        <v>8</v>
      </c>
      <c r="K93" s="62">
        <f>IF(工单表[[#This Row],[验收备注]]="已关闭",1,IFERROR(工单表[[#This Row],[耗时]]/IF(工单表[[#This Row],[新估时]]&gt;0,工单表[[#This Row],[新估时]],工单表[[#This Row],[原估时]]),""))</f>
        <v>1</v>
      </c>
      <c r="L93" s="88"/>
      <c r="M9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3" s="65"/>
      <c r="O93" s="66" t="s">
        <v>148</v>
      </c>
      <c r="P93" s="67"/>
      <c r="Q93" s="63" t="s">
        <v>149</v>
      </c>
      <c r="R93" s="68">
        <v>43077.756030092591</v>
      </c>
      <c r="S93" s="69"/>
    </row>
    <row r="94" spans="2:19" ht="24.75" customHeight="1" x14ac:dyDescent="0.15">
      <c r="B94" s="107">
        <v>4089</v>
      </c>
      <c r="C94" s="85" t="s">
        <v>11</v>
      </c>
      <c r="D94" s="101" t="s">
        <v>151</v>
      </c>
      <c r="E94" s="60" t="str">
        <f>IFERROR(VLOOKUP(工单表[[#This Row],[责任人]],表3[[人员]:[岗位]],2,FALSE),"")</f>
        <v>后端</v>
      </c>
      <c r="F94" s="61"/>
      <c r="G94" s="85">
        <v>0</v>
      </c>
      <c r="H94" s="91"/>
      <c r="I94" s="85">
        <v>1</v>
      </c>
      <c r="J94" s="104">
        <v>1</v>
      </c>
      <c r="K94" s="62">
        <f>IF(工单表[[#This Row],[验收备注]]="已关闭",1,IFERROR(工单表[[#This Row],[耗时]]/IF(工单表[[#This Row],[新估时]]&gt;0,工单表[[#This Row],[新估时]],工单表[[#This Row],[原估时]]),""))</f>
        <v>1</v>
      </c>
      <c r="L94" s="85"/>
      <c r="M9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4" s="65"/>
      <c r="O94" s="73" t="s">
        <v>148</v>
      </c>
      <c r="P94" s="67"/>
      <c r="Q94" s="63" t="s">
        <v>149</v>
      </c>
      <c r="R94" s="68">
        <v>43077.756030092591</v>
      </c>
      <c r="S94" s="69"/>
    </row>
    <row r="95" spans="2:19" ht="24.75" customHeight="1" x14ac:dyDescent="0.15">
      <c r="B95" s="107">
        <v>4090</v>
      </c>
      <c r="C95" s="105" t="s">
        <v>11</v>
      </c>
      <c r="D95" s="101" t="s">
        <v>152</v>
      </c>
      <c r="E95" s="60" t="str">
        <f>IFERROR(VLOOKUP(工单表[[#This Row],[责任人]],表3[[人员]:[岗位]],2,FALSE),"")</f>
        <v>后端</v>
      </c>
      <c r="F95" s="61"/>
      <c r="G95" s="105">
        <v>0</v>
      </c>
      <c r="H95" s="91"/>
      <c r="I95" s="105">
        <v>1</v>
      </c>
      <c r="J95" s="106">
        <v>1</v>
      </c>
      <c r="K95" s="62">
        <f>IF(工单表[[#This Row],[验收备注]]="已关闭",1,IFERROR(工单表[[#This Row],[耗时]]/IF(工单表[[#This Row],[新估时]]&gt;0,工单表[[#This Row],[新估时]],工单表[[#This Row],[原估时]]),""))</f>
        <v>1</v>
      </c>
      <c r="L95" s="88"/>
      <c r="M9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5" s="65"/>
      <c r="O95" s="75" t="s">
        <v>148</v>
      </c>
      <c r="P95" s="67"/>
      <c r="Q95" s="63" t="s">
        <v>149</v>
      </c>
      <c r="R95" s="68">
        <v>43077.756030092591</v>
      </c>
      <c r="S95" s="69"/>
    </row>
    <row r="96" spans="2:19" ht="24.75" customHeight="1" x14ac:dyDescent="0.15">
      <c r="B96" s="108">
        <v>4091</v>
      </c>
      <c r="C96" s="105" t="s">
        <v>11</v>
      </c>
      <c r="D96" s="99" t="s">
        <v>153</v>
      </c>
      <c r="E96" s="60" t="str">
        <f>IFERROR(VLOOKUP(工单表[[#This Row],[责任人]],表3[[人员]:[岗位]],2,FALSE),"")</f>
        <v>后端</v>
      </c>
      <c r="F96" s="61"/>
      <c r="G96" s="105">
        <v>0</v>
      </c>
      <c r="H96" s="91"/>
      <c r="I96" s="105">
        <v>4</v>
      </c>
      <c r="J96" s="106">
        <v>0</v>
      </c>
      <c r="K96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96" s="88"/>
      <c r="M9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6" s="72"/>
      <c r="O96" s="75"/>
      <c r="P96" s="74"/>
      <c r="Q96" s="70" t="s">
        <v>149</v>
      </c>
      <c r="R96" s="68">
        <v>43077.756030092591</v>
      </c>
      <c r="S96" s="69"/>
    </row>
    <row r="97" spans="2:19" ht="24.75" customHeight="1" x14ac:dyDescent="0.15">
      <c r="B97" s="107">
        <v>4092</v>
      </c>
      <c r="C97" s="85" t="s">
        <v>11</v>
      </c>
      <c r="D97" s="98" t="s">
        <v>154</v>
      </c>
      <c r="E97" s="60" t="str">
        <f>IFERROR(VLOOKUP(工单表[[#This Row],[责任人]],表3[[人员]:[岗位]],2,FALSE),"")</f>
        <v>后端</v>
      </c>
      <c r="F97" s="71"/>
      <c r="G97" s="104">
        <v>0</v>
      </c>
      <c r="H97" s="91"/>
      <c r="I97" s="104">
        <v>1</v>
      </c>
      <c r="J97" s="104">
        <v>1</v>
      </c>
      <c r="K97" s="62">
        <f>IF(工单表[[#This Row],[验收备注]]="已关闭",1,IFERROR(工单表[[#This Row],[耗时]]/IF(工单表[[#This Row],[新估时]]&gt;0,工单表[[#This Row],[新估时]],工单表[[#This Row],[原估时]]),""))</f>
        <v>1</v>
      </c>
      <c r="L97" s="85"/>
      <c r="M9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7" s="65"/>
      <c r="O97" s="73" t="s">
        <v>50</v>
      </c>
      <c r="P97" s="67"/>
      <c r="Q97" s="63" t="s">
        <v>149</v>
      </c>
      <c r="R97" s="68">
        <v>43077.756030092591</v>
      </c>
      <c r="S97" s="69"/>
    </row>
    <row r="98" spans="2:19" ht="24.75" customHeight="1" x14ac:dyDescent="0.15">
      <c r="B98" s="108">
        <v>4093</v>
      </c>
      <c r="C98" s="105" t="s">
        <v>11</v>
      </c>
      <c r="D98" s="98" t="s">
        <v>155</v>
      </c>
      <c r="E98" s="60" t="str">
        <f>IFERROR(VLOOKUP(工单表[[#This Row],[责任人]],表3[[人员]:[岗位]],2,FALSE),"")</f>
        <v>后端</v>
      </c>
      <c r="F98" s="61"/>
      <c r="G98" s="106">
        <v>0</v>
      </c>
      <c r="H98" s="91"/>
      <c r="I98" s="106">
        <v>8</v>
      </c>
      <c r="J98" s="106">
        <v>0</v>
      </c>
      <c r="K98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98" s="88"/>
      <c r="M9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8" s="65"/>
      <c r="O98" s="75"/>
      <c r="P98" s="67"/>
      <c r="Q98" s="63" t="s">
        <v>149</v>
      </c>
      <c r="R98" s="68">
        <v>43077.756030092591</v>
      </c>
      <c r="S98" s="69"/>
    </row>
    <row r="99" spans="2:19" ht="24.75" customHeight="1" x14ac:dyDescent="0.15">
      <c r="B99" s="108">
        <v>4094</v>
      </c>
      <c r="C99" s="105" t="s">
        <v>11</v>
      </c>
      <c r="D99" s="98" t="s">
        <v>156</v>
      </c>
      <c r="E99" s="60" t="str">
        <f>IFERROR(VLOOKUP(工单表[[#This Row],[责任人]],表3[[人员]:[岗位]],2,FALSE),"")</f>
        <v>后端</v>
      </c>
      <c r="F99" s="61"/>
      <c r="G99" s="105">
        <v>0</v>
      </c>
      <c r="H99" s="91"/>
      <c r="I99" s="105">
        <v>1</v>
      </c>
      <c r="J99" s="106">
        <v>0</v>
      </c>
      <c r="K99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99" s="88"/>
      <c r="M9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99" s="65"/>
      <c r="O99" s="75"/>
      <c r="P99" s="67"/>
      <c r="Q99" s="63" t="s">
        <v>149</v>
      </c>
      <c r="R99" s="68">
        <v>43077.756030092591</v>
      </c>
      <c r="S99" s="69"/>
    </row>
    <row r="100" spans="2:19" ht="24.75" customHeight="1" x14ac:dyDescent="0.15">
      <c r="B100" s="107">
        <v>4095</v>
      </c>
      <c r="C100" s="105" t="s">
        <v>11</v>
      </c>
      <c r="D100" s="84" t="s">
        <v>157</v>
      </c>
      <c r="E100" s="60" t="str">
        <f>IFERROR(VLOOKUP(工单表[[#This Row],[责任人]],表3[[人员]:[岗位]],2,FALSE),"")</f>
        <v>后端</v>
      </c>
      <c r="F100" s="61"/>
      <c r="G100" s="105">
        <v>0</v>
      </c>
      <c r="H100" s="91"/>
      <c r="I100" s="105">
        <v>24</v>
      </c>
      <c r="J100" s="106">
        <v>0</v>
      </c>
      <c r="K100" s="62">
        <f>IF(工单表[[#This Row],[验收备注]]="已关闭",1,IFERROR(工单表[[#This Row],[耗时]]/IF(工单表[[#This Row],[新估时]]&gt;0,工单表[[#This Row],[新估时]],工单表[[#This Row],[原估时]]),""))</f>
        <v>0</v>
      </c>
      <c r="L100" s="88"/>
      <c r="M10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0" s="65"/>
      <c r="O100" s="75"/>
      <c r="P100" s="67"/>
      <c r="Q100" s="63" t="s">
        <v>149</v>
      </c>
      <c r="R100" s="68">
        <v>43077.756030092591</v>
      </c>
      <c r="S100" s="69"/>
    </row>
    <row r="101" spans="2:19" ht="24.75" customHeight="1" x14ac:dyDescent="0.15">
      <c r="B101" s="107">
        <v>4096</v>
      </c>
      <c r="C101" s="105" t="s">
        <v>11</v>
      </c>
      <c r="D101" s="98" t="s">
        <v>158</v>
      </c>
      <c r="E101" s="60" t="str">
        <f>IFERROR(VLOOKUP(工单表[[#This Row],[责任人]],表3[[人员]:[岗位]],2,FALSE),"")</f>
        <v>后端</v>
      </c>
      <c r="F101" s="61"/>
      <c r="G101" s="105">
        <v>0</v>
      </c>
      <c r="H101" s="91"/>
      <c r="I101" s="105">
        <v>0</v>
      </c>
      <c r="J101" s="106">
        <v>0</v>
      </c>
      <c r="K10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1" s="88"/>
      <c r="M10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1" s="65"/>
      <c r="O101" s="66" t="s">
        <v>148</v>
      </c>
      <c r="P101" s="67"/>
      <c r="Q101" s="63" t="s">
        <v>149</v>
      </c>
      <c r="R101" s="68">
        <v>43077.756030092591</v>
      </c>
      <c r="S101" s="69"/>
    </row>
    <row r="102" spans="2:19" ht="24.75" customHeight="1" x14ac:dyDescent="0.15">
      <c r="B102" s="107"/>
      <c r="C102" s="105"/>
      <c r="D102" s="98"/>
      <c r="E102" s="60" t="str">
        <f>IFERROR(VLOOKUP(工单表[[#This Row],[责任人]],表3[[人员]:[岗位]],2,FALSE),"")</f>
        <v/>
      </c>
      <c r="F102" s="61"/>
      <c r="G102" s="105"/>
      <c r="H102" s="91"/>
      <c r="I102" s="105"/>
      <c r="J102" s="106"/>
      <c r="K10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2" s="88"/>
      <c r="M10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2" s="65"/>
      <c r="O102" s="75"/>
      <c r="P102" s="67"/>
      <c r="Q102" s="63"/>
      <c r="R102" s="68"/>
      <c r="S102" s="69"/>
    </row>
    <row r="103" spans="2:19" ht="24.75" customHeight="1" x14ac:dyDescent="0.15">
      <c r="B103" s="108"/>
      <c r="C103" s="85"/>
      <c r="D103" s="98"/>
      <c r="E103" s="60" t="str">
        <f>IFERROR(VLOOKUP(工单表[[#This Row],[责任人]],表3[[人员]:[岗位]],2,FALSE),"")</f>
        <v/>
      </c>
      <c r="F103" s="71"/>
      <c r="G103" s="85"/>
      <c r="H103" s="103"/>
      <c r="I103" s="85"/>
      <c r="J103" s="104"/>
      <c r="K10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3" s="85"/>
      <c r="M10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3" s="65"/>
      <c r="O103" s="73"/>
      <c r="P103" s="67"/>
      <c r="Q103" s="63"/>
      <c r="R103" s="68"/>
      <c r="S103" s="69"/>
    </row>
    <row r="104" spans="2:19" ht="24.75" customHeight="1" x14ac:dyDescent="0.15">
      <c r="B104" s="108"/>
      <c r="C104" s="85"/>
      <c r="D104" s="98"/>
      <c r="E104" s="60" t="str">
        <f>IFERROR(VLOOKUP(工单表[[#This Row],[责任人]],表3[[人员]:[岗位]],2,FALSE),"")</f>
        <v/>
      </c>
      <c r="F104" s="71"/>
      <c r="G104" s="85"/>
      <c r="H104" s="103"/>
      <c r="I104" s="85"/>
      <c r="J104" s="104"/>
      <c r="K10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4" s="85"/>
      <c r="M10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4" s="65"/>
      <c r="O104" s="73"/>
      <c r="P104" s="67"/>
      <c r="Q104" s="63"/>
      <c r="R104" s="68"/>
      <c r="S104" s="69"/>
    </row>
    <row r="105" spans="2:19" ht="24.75" customHeight="1" x14ac:dyDescent="0.15">
      <c r="B105" s="107"/>
      <c r="C105" s="85"/>
      <c r="D105" s="84"/>
      <c r="E105" s="60" t="str">
        <f>IFERROR(VLOOKUP(工单表[[#This Row],[责任人]],表3[[人员]:[岗位]],2,FALSE),"")</f>
        <v/>
      </c>
      <c r="F105" s="71"/>
      <c r="G105" s="85"/>
      <c r="H105" s="103"/>
      <c r="I105" s="85"/>
      <c r="J105" s="104"/>
      <c r="K10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5" s="85"/>
      <c r="M10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5" s="72"/>
      <c r="O105" s="73"/>
      <c r="P105" s="74"/>
      <c r="Q105" s="70"/>
      <c r="R105" s="68"/>
      <c r="S105" s="69"/>
    </row>
    <row r="106" spans="2:19" ht="24.75" customHeight="1" x14ac:dyDescent="0.15">
      <c r="B106" s="108"/>
      <c r="C106" s="85"/>
      <c r="D106" s="98"/>
      <c r="E106" s="60" t="str">
        <f>IFERROR(VLOOKUP(工单表[[#This Row],[责任人]],表3[[人员]:[岗位]],2,FALSE),"")</f>
        <v/>
      </c>
      <c r="F106" s="71"/>
      <c r="G106" s="85"/>
      <c r="H106" s="103"/>
      <c r="I106" s="85"/>
      <c r="J106" s="104"/>
      <c r="K10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6" s="85"/>
      <c r="M10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6" s="65"/>
      <c r="O106" s="73"/>
      <c r="P106" s="67"/>
      <c r="Q106" s="63"/>
      <c r="R106" s="68"/>
      <c r="S106" s="69"/>
    </row>
    <row r="107" spans="2:19" ht="24.75" customHeight="1" x14ac:dyDescent="0.15">
      <c r="B107" s="107"/>
      <c r="C107" s="85"/>
      <c r="D107" s="98"/>
      <c r="E107" s="80" t="str">
        <f>IFERROR(VLOOKUP(工单表[[#This Row],[责任人]],表3[[人员]:[岗位]],2,FALSE),"")</f>
        <v/>
      </c>
      <c r="F107" s="71"/>
      <c r="G107" s="85"/>
      <c r="H107" s="103"/>
      <c r="I107" s="85"/>
      <c r="J107" s="104"/>
      <c r="K10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7" s="85"/>
      <c r="M10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7" s="65"/>
      <c r="O107" s="73"/>
      <c r="P107" s="67"/>
      <c r="Q107" s="63"/>
      <c r="R107" s="68"/>
      <c r="S107" s="69"/>
    </row>
    <row r="108" spans="2:19" ht="24.75" customHeight="1" x14ac:dyDescent="0.15">
      <c r="B108" s="107"/>
      <c r="C108" s="105"/>
      <c r="D108" s="87"/>
      <c r="E108" s="60" t="str">
        <f>IFERROR(VLOOKUP(工单表[[#This Row],[责任人]],表3[[人员]:[岗位]],2,FALSE),"")</f>
        <v/>
      </c>
      <c r="F108" s="61"/>
      <c r="G108" s="105"/>
      <c r="H108" s="91"/>
      <c r="I108" s="105"/>
      <c r="J108" s="106"/>
      <c r="K10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8" s="88"/>
      <c r="M10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8" s="65"/>
      <c r="O108" s="75"/>
      <c r="P108" s="67"/>
      <c r="Q108" s="63"/>
      <c r="R108" s="68"/>
      <c r="S108" s="69"/>
    </row>
    <row r="109" spans="2:19" ht="24.75" customHeight="1" x14ac:dyDescent="0.15">
      <c r="B109" s="107"/>
      <c r="C109" s="105"/>
      <c r="D109" s="99"/>
      <c r="E109" s="60" t="str">
        <f>IFERROR(VLOOKUP(工单表[[#This Row],[责任人]],表3[[人员]:[岗位]],2,FALSE),"")</f>
        <v/>
      </c>
      <c r="F109" s="61"/>
      <c r="G109" s="106"/>
      <c r="H109" s="91"/>
      <c r="I109" s="106"/>
      <c r="J109" s="106"/>
      <c r="K10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09" s="88"/>
      <c r="M10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09" s="65"/>
      <c r="O109" s="75"/>
      <c r="P109" s="67"/>
      <c r="Q109" s="63"/>
      <c r="R109" s="68"/>
      <c r="S109" s="69"/>
    </row>
    <row r="110" spans="2:19" ht="24.75" customHeight="1" x14ac:dyDescent="0.15">
      <c r="B110" s="107"/>
      <c r="C110" s="85"/>
      <c r="D110" s="87"/>
      <c r="E110" s="60" t="str">
        <f>IFERROR(VLOOKUP(工单表[[#This Row],[责任人]],表3[[人员]:[岗位]],2,FALSE),"")</f>
        <v/>
      </c>
      <c r="F110" s="71"/>
      <c r="G110" s="85"/>
      <c r="H110" s="103"/>
      <c r="I110" s="85"/>
      <c r="J110" s="104"/>
      <c r="K11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0" s="85"/>
      <c r="M11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0" s="65"/>
      <c r="O110" s="73"/>
      <c r="P110" s="67"/>
      <c r="Q110" s="63"/>
      <c r="R110" s="68"/>
      <c r="S110" s="69"/>
    </row>
    <row r="111" spans="2:19" ht="24.75" customHeight="1" x14ac:dyDescent="0.15">
      <c r="B111" s="108"/>
      <c r="C111" s="105"/>
      <c r="D111" s="87"/>
      <c r="E111" s="60" t="str">
        <f>IFERROR(VLOOKUP(工单表[[#This Row],[责任人]],表3[[人员]:[岗位]],2,FALSE),"")</f>
        <v/>
      </c>
      <c r="F111" s="61"/>
      <c r="G111" s="105"/>
      <c r="H111" s="91"/>
      <c r="I111" s="105"/>
      <c r="J111" s="106"/>
      <c r="K11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1" s="88"/>
      <c r="M11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1" s="65"/>
      <c r="O111" s="75"/>
      <c r="P111" s="67"/>
      <c r="Q111" s="63"/>
      <c r="R111" s="68"/>
      <c r="S111" s="69"/>
    </row>
    <row r="112" spans="2:19" ht="24.75" customHeight="1" x14ac:dyDescent="0.15">
      <c r="B112" s="107"/>
      <c r="C112" s="85"/>
      <c r="D112" s="89"/>
      <c r="E112" s="90" t="str">
        <f>IFERROR(VLOOKUP(工单表[[#This Row],[责任人]],表3[[人员]:[岗位]],2,FALSE),"")</f>
        <v/>
      </c>
      <c r="F112" s="71"/>
      <c r="G112" s="85"/>
      <c r="H112" s="103"/>
      <c r="I112" s="85"/>
      <c r="J112" s="104"/>
      <c r="K112" s="93" t="str">
        <f>IF(工单表[[#This Row],[验收备注]]="已关闭",1,IFERROR(工单表[[#This Row],[耗时]]/IF(工单表[[#This Row],[新估时]]&gt;0,工单表[[#This Row],[新估时]],工单表[[#This Row],[原估时]]),""))</f>
        <v/>
      </c>
      <c r="L112" s="85"/>
      <c r="M112" s="9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2" s="95"/>
      <c r="O112" s="73"/>
      <c r="P112" s="96"/>
      <c r="Q112" s="88"/>
      <c r="R112" s="68"/>
      <c r="S112" s="69"/>
    </row>
    <row r="113" spans="2:19" ht="24.75" customHeight="1" x14ac:dyDescent="0.15">
      <c r="B113" s="108"/>
      <c r="C113" s="105"/>
      <c r="D113" s="87"/>
      <c r="E113" s="60" t="str">
        <f>IFERROR(VLOOKUP(工单表[[#This Row],[责任人]],表3[[人员]:[岗位]],2,FALSE),"")</f>
        <v/>
      </c>
      <c r="F113" s="61"/>
      <c r="G113" s="105"/>
      <c r="H113" s="91"/>
      <c r="I113" s="105"/>
      <c r="J113" s="106"/>
      <c r="K11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3" s="88"/>
      <c r="M11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3" s="65"/>
      <c r="O113" s="75"/>
      <c r="P113" s="67"/>
      <c r="Q113" s="63"/>
      <c r="R113" s="68"/>
      <c r="S113" s="69"/>
    </row>
    <row r="114" spans="2:19" ht="24.75" customHeight="1" x14ac:dyDescent="0.15">
      <c r="B114" s="107"/>
      <c r="C114" s="105"/>
      <c r="D114" s="87"/>
      <c r="E114" s="60" t="str">
        <f>IFERROR(VLOOKUP(工单表[[#This Row],[责任人]],表3[[人员]:[岗位]],2,FALSE),"")</f>
        <v/>
      </c>
      <c r="F114" s="61"/>
      <c r="G114" s="105"/>
      <c r="H114" s="91"/>
      <c r="I114" s="105"/>
      <c r="J114" s="106"/>
      <c r="K11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4" s="88"/>
      <c r="M11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4" s="65"/>
      <c r="O114" s="75"/>
      <c r="P114" s="67"/>
      <c r="Q114" s="63"/>
      <c r="R114" s="68"/>
      <c r="S114" s="69"/>
    </row>
    <row r="115" spans="2:19" ht="24.75" customHeight="1" x14ac:dyDescent="0.15">
      <c r="B115" s="108"/>
      <c r="C115" s="105"/>
      <c r="D115" s="87"/>
      <c r="E115" s="60" t="str">
        <f>IFERROR(VLOOKUP(工单表[[#This Row],[责任人]],表3[[人员]:[岗位]],2,FALSE),"")</f>
        <v/>
      </c>
      <c r="F115" s="61"/>
      <c r="G115" s="105"/>
      <c r="H115" s="91"/>
      <c r="I115" s="105"/>
      <c r="J115" s="106"/>
      <c r="K11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5" s="88"/>
      <c r="M11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5" s="65"/>
      <c r="O115" s="75"/>
      <c r="P115" s="67"/>
      <c r="Q115" s="63"/>
      <c r="R115" s="68"/>
      <c r="S115" s="69"/>
    </row>
    <row r="116" spans="2:19" ht="24.75" customHeight="1" x14ac:dyDescent="0.15">
      <c r="B116" s="108"/>
      <c r="C116" s="105"/>
      <c r="D116" s="87"/>
      <c r="E116" s="60" t="str">
        <f>IFERROR(VLOOKUP(工单表[[#This Row],[责任人]],表3[[人员]:[岗位]],2,FALSE),"")</f>
        <v/>
      </c>
      <c r="F116" s="61"/>
      <c r="G116" s="105"/>
      <c r="H116" s="91"/>
      <c r="I116" s="105"/>
      <c r="J116" s="106"/>
      <c r="K11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6" s="88"/>
      <c r="M11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6" s="65"/>
      <c r="O116" s="75"/>
      <c r="P116" s="67"/>
      <c r="Q116" s="63"/>
      <c r="R116" s="68"/>
      <c r="S116" s="69"/>
    </row>
    <row r="117" spans="2:19" ht="24.75" customHeight="1" x14ac:dyDescent="0.15">
      <c r="B117" s="107"/>
      <c r="C117" s="85"/>
      <c r="D117" s="86"/>
      <c r="E117" s="60" t="str">
        <f>IFERROR(VLOOKUP(工单表[[#This Row],[责任人]],表3[[人员]:[岗位]],2,FALSE),"")</f>
        <v/>
      </c>
      <c r="F117" s="71"/>
      <c r="G117" s="85"/>
      <c r="H117" s="103"/>
      <c r="I117" s="85"/>
      <c r="J117" s="104"/>
      <c r="K11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7" s="85"/>
      <c r="M11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7" s="72"/>
      <c r="O117" s="73"/>
      <c r="P117" s="74"/>
      <c r="Q117" s="70"/>
      <c r="R117" s="79"/>
      <c r="S117" s="69"/>
    </row>
    <row r="118" spans="2:19" ht="24.75" customHeight="1" x14ac:dyDescent="0.15">
      <c r="B118" s="107"/>
      <c r="C118" s="85"/>
      <c r="D118" s="86"/>
      <c r="E118" s="60" t="str">
        <f>IFERROR(VLOOKUP(工单表[[#This Row],[责任人]],表3[[人员]:[岗位]],2,FALSE),"")</f>
        <v/>
      </c>
      <c r="F118" s="71"/>
      <c r="G118" s="85"/>
      <c r="H118" s="103"/>
      <c r="I118" s="85"/>
      <c r="J118" s="104"/>
      <c r="K11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8" s="85"/>
      <c r="M11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8" s="72"/>
      <c r="O118" s="73"/>
      <c r="P118" s="74"/>
      <c r="Q118" s="70"/>
      <c r="R118" s="79"/>
      <c r="S118" s="69"/>
    </row>
    <row r="119" spans="2:19" ht="24.75" customHeight="1" x14ac:dyDescent="0.15">
      <c r="B119" s="108"/>
      <c r="C119" s="105"/>
      <c r="D119" s="87"/>
      <c r="E119" s="60" t="str">
        <f>IFERROR(VLOOKUP(工单表[[#This Row],[责任人]],表3[[人员]:[岗位]],2,FALSE),"")</f>
        <v/>
      </c>
      <c r="F119" s="61"/>
      <c r="G119" s="105"/>
      <c r="H119" s="91"/>
      <c r="I119" s="105"/>
      <c r="J119" s="106"/>
      <c r="K11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19" s="88"/>
      <c r="M11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19" s="65"/>
      <c r="O119" s="75"/>
      <c r="P119" s="67"/>
      <c r="Q119" s="63"/>
      <c r="R119" s="68"/>
      <c r="S119" s="69"/>
    </row>
    <row r="120" spans="2:19" ht="24.75" customHeight="1" x14ac:dyDescent="0.15">
      <c r="B120" s="107"/>
      <c r="C120" s="85"/>
      <c r="D120" s="86"/>
      <c r="E120" s="60" t="str">
        <f>IFERROR(VLOOKUP(工单表[[#This Row],[责任人]],表3[[人员]:[岗位]],2,FALSE),"")</f>
        <v/>
      </c>
      <c r="F120" s="71"/>
      <c r="G120" s="85"/>
      <c r="H120" s="103"/>
      <c r="I120" s="85"/>
      <c r="J120" s="104"/>
      <c r="K12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0" s="85"/>
      <c r="M12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0" s="72"/>
      <c r="O120" s="73"/>
      <c r="P120" s="74"/>
      <c r="Q120" s="70"/>
      <c r="R120" s="79"/>
      <c r="S120" s="69"/>
    </row>
    <row r="121" spans="2:19" ht="24.75" customHeight="1" x14ac:dyDescent="0.15">
      <c r="B121" s="108"/>
      <c r="C121" s="105"/>
      <c r="D121" s="87"/>
      <c r="E121" s="60" t="str">
        <f>IFERROR(VLOOKUP(工单表[[#This Row],[责任人]],表3[[人员]:[岗位]],2,FALSE),"")</f>
        <v/>
      </c>
      <c r="F121" s="61"/>
      <c r="G121" s="105"/>
      <c r="H121" s="91"/>
      <c r="I121" s="105"/>
      <c r="J121" s="106"/>
      <c r="K12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1" s="88"/>
      <c r="M12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1" s="65"/>
      <c r="O121" s="75"/>
      <c r="P121" s="67"/>
      <c r="Q121" s="63"/>
      <c r="R121" s="68"/>
      <c r="S121" s="69"/>
    </row>
    <row r="122" spans="2:19" ht="24.75" customHeight="1" x14ac:dyDescent="0.15">
      <c r="B122" s="108"/>
      <c r="C122" s="105"/>
      <c r="D122" s="87"/>
      <c r="E122" s="60" t="str">
        <f>IFERROR(VLOOKUP(工单表[[#This Row],[责任人]],表3[[人员]:[岗位]],2,FALSE),"")</f>
        <v/>
      </c>
      <c r="F122" s="61"/>
      <c r="G122" s="105"/>
      <c r="H122" s="91"/>
      <c r="I122" s="105"/>
      <c r="J122" s="106"/>
      <c r="K12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2" s="88"/>
      <c r="M12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2" s="65"/>
      <c r="O122" s="75"/>
      <c r="P122" s="67"/>
      <c r="Q122" s="63"/>
      <c r="R122" s="68"/>
      <c r="S122" s="69"/>
    </row>
    <row r="123" spans="2:19" ht="24.75" customHeight="1" x14ac:dyDescent="0.15">
      <c r="B123" s="108"/>
      <c r="C123" s="105"/>
      <c r="D123" s="87"/>
      <c r="E123" s="60" t="str">
        <f>IFERROR(VLOOKUP(工单表[[#This Row],[责任人]],表3[[人员]:[岗位]],2,FALSE),"")</f>
        <v/>
      </c>
      <c r="F123" s="61"/>
      <c r="G123" s="105"/>
      <c r="H123" s="91"/>
      <c r="I123" s="105"/>
      <c r="J123" s="106"/>
      <c r="K12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3" s="88"/>
      <c r="M12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3" s="65"/>
      <c r="O123" s="75"/>
      <c r="P123" s="67"/>
      <c r="Q123" s="63"/>
      <c r="R123" s="68"/>
      <c r="S123" s="69"/>
    </row>
    <row r="124" spans="2:19" ht="24.75" customHeight="1" x14ac:dyDescent="0.15">
      <c r="B124" s="108"/>
      <c r="C124" s="105"/>
      <c r="D124" s="87"/>
      <c r="E124" s="60" t="str">
        <f>IFERROR(VLOOKUP(工单表[[#This Row],[责任人]],表3[[人员]:[岗位]],2,FALSE),"")</f>
        <v/>
      </c>
      <c r="F124" s="61"/>
      <c r="G124" s="105"/>
      <c r="H124" s="91"/>
      <c r="I124" s="105"/>
      <c r="J124" s="106"/>
      <c r="K12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4" s="88"/>
      <c r="M12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4" s="65"/>
      <c r="O124" s="66"/>
      <c r="P124" s="67"/>
      <c r="Q124" s="63"/>
      <c r="R124" s="68"/>
      <c r="S124" s="69"/>
    </row>
    <row r="125" spans="2:19" ht="24.75" customHeight="1" x14ac:dyDescent="0.15">
      <c r="B125" s="108"/>
      <c r="C125" s="105"/>
      <c r="D125" s="87"/>
      <c r="E125" s="60" t="str">
        <f>IFERROR(VLOOKUP(工单表[[#This Row],[责任人]],表3[[人员]:[岗位]],2,FALSE),"")</f>
        <v/>
      </c>
      <c r="F125" s="61"/>
      <c r="G125" s="105"/>
      <c r="H125" s="91"/>
      <c r="I125" s="105"/>
      <c r="J125" s="106"/>
      <c r="K12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5" s="88"/>
      <c r="M12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5" s="65"/>
      <c r="O125" s="75"/>
      <c r="P125" s="67"/>
      <c r="Q125" s="63"/>
      <c r="R125" s="68"/>
      <c r="S125" s="69"/>
    </row>
    <row r="126" spans="2:19" ht="24.75" customHeight="1" x14ac:dyDescent="0.15">
      <c r="B126" s="108"/>
      <c r="C126" s="105"/>
      <c r="D126" s="87"/>
      <c r="E126" s="60" t="str">
        <f>IFERROR(VLOOKUP(工单表[[#This Row],[责任人]],表3[[人员]:[岗位]],2,FALSE),"")</f>
        <v/>
      </c>
      <c r="F126" s="61"/>
      <c r="G126" s="105"/>
      <c r="H126" s="91"/>
      <c r="I126" s="105"/>
      <c r="J126" s="106"/>
      <c r="K12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6" s="88"/>
      <c r="M12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6" s="65"/>
      <c r="O126" s="75"/>
      <c r="P126" s="67"/>
      <c r="Q126" s="63"/>
      <c r="R126" s="68"/>
      <c r="S126" s="69"/>
    </row>
    <row r="127" spans="2:19" ht="24.75" customHeight="1" x14ac:dyDescent="0.15">
      <c r="B127" s="108"/>
      <c r="C127" s="105"/>
      <c r="D127" s="87"/>
      <c r="E127" s="60" t="str">
        <f>IFERROR(VLOOKUP(工单表[[#This Row],[责任人]],表3[[人员]:[岗位]],2,FALSE),"")</f>
        <v/>
      </c>
      <c r="F127" s="61"/>
      <c r="G127" s="105"/>
      <c r="H127" s="91"/>
      <c r="I127" s="105"/>
      <c r="J127" s="106"/>
      <c r="K12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7" s="88"/>
      <c r="M12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7" s="65"/>
      <c r="O127" s="75"/>
      <c r="P127" s="67"/>
      <c r="Q127" s="63"/>
      <c r="R127" s="68"/>
      <c r="S127" s="69"/>
    </row>
    <row r="128" spans="2:19" ht="24.75" customHeight="1" x14ac:dyDescent="0.15">
      <c r="B128" s="107"/>
      <c r="C128" s="85"/>
      <c r="D128" s="86"/>
      <c r="E128" s="60" t="str">
        <f>IFERROR(VLOOKUP(工单表[[#This Row],[责任人]],表3[[人员]:[岗位]],2,FALSE),"")</f>
        <v/>
      </c>
      <c r="F128" s="71"/>
      <c r="G128" s="85"/>
      <c r="H128" s="103"/>
      <c r="I128" s="85"/>
      <c r="J128" s="104"/>
      <c r="K12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8" s="85"/>
      <c r="M12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8" s="72"/>
      <c r="O128" s="73"/>
      <c r="P128" s="74"/>
      <c r="Q128" s="70"/>
      <c r="R128" s="79"/>
      <c r="S128" s="69"/>
    </row>
    <row r="129" spans="2:19" ht="24.75" customHeight="1" x14ac:dyDescent="0.15">
      <c r="B129" s="107"/>
      <c r="C129" s="85"/>
      <c r="D129" s="86"/>
      <c r="E129" s="60" t="str">
        <f>IFERROR(VLOOKUP(工单表[[#This Row],[责任人]],表3[[人员]:[岗位]],2,FALSE),"")</f>
        <v/>
      </c>
      <c r="F129" s="71"/>
      <c r="G129" s="85"/>
      <c r="H129" s="103"/>
      <c r="I129" s="85"/>
      <c r="J129" s="104"/>
      <c r="K12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29" s="85"/>
      <c r="M12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29" s="72"/>
      <c r="O129" s="73"/>
      <c r="P129" s="74"/>
      <c r="Q129" s="70"/>
      <c r="R129" s="79"/>
      <c r="S129" s="69"/>
    </row>
    <row r="130" spans="2:19" ht="24.75" customHeight="1" x14ac:dyDescent="0.15">
      <c r="B130" s="107"/>
      <c r="C130" s="85"/>
      <c r="D130" s="86"/>
      <c r="E130" s="60" t="str">
        <f>IFERROR(VLOOKUP(工单表[[#This Row],[责任人]],表3[[人员]:[岗位]],2,FALSE),"")</f>
        <v/>
      </c>
      <c r="F130" s="71"/>
      <c r="G130" s="85"/>
      <c r="H130" s="103"/>
      <c r="I130" s="85"/>
      <c r="J130" s="104"/>
      <c r="K13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0" s="85"/>
      <c r="M13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0" s="72"/>
      <c r="O130" s="73"/>
      <c r="P130" s="74"/>
      <c r="Q130" s="70"/>
      <c r="R130" s="79"/>
      <c r="S130" s="69"/>
    </row>
    <row r="131" spans="2:19" ht="24.75" customHeight="1" x14ac:dyDescent="0.15">
      <c r="B131" s="108"/>
      <c r="C131" s="105"/>
      <c r="D131" s="87"/>
      <c r="E131" s="60" t="str">
        <f>IFERROR(VLOOKUP(工单表[[#This Row],[责任人]],表3[[人员]:[岗位]],2,FALSE),"")</f>
        <v/>
      </c>
      <c r="F131" s="61"/>
      <c r="G131" s="105"/>
      <c r="H131" s="91"/>
      <c r="I131" s="105"/>
      <c r="J131" s="106"/>
      <c r="K13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1" s="88"/>
      <c r="M13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1" s="65"/>
      <c r="O131" s="66"/>
      <c r="P131" s="67"/>
      <c r="Q131" s="63"/>
      <c r="R131" s="68"/>
      <c r="S131" s="69"/>
    </row>
    <row r="132" spans="2:19" ht="24.75" customHeight="1" x14ac:dyDescent="0.15">
      <c r="B132" s="107"/>
      <c r="C132" s="85"/>
      <c r="D132" s="86"/>
      <c r="E132" s="60" t="str">
        <f>IFERROR(VLOOKUP(工单表[[#This Row],[责任人]],表3[[人员]:[岗位]],2,FALSE),"")</f>
        <v/>
      </c>
      <c r="F132" s="71"/>
      <c r="G132" s="85"/>
      <c r="H132" s="103"/>
      <c r="I132" s="85"/>
      <c r="J132" s="104"/>
      <c r="K13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2" s="85"/>
      <c r="M13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2" s="72"/>
      <c r="O132" s="73"/>
      <c r="P132" s="74"/>
      <c r="Q132" s="70"/>
      <c r="R132" s="79"/>
      <c r="S132" s="69"/>
    </row>
    <row r="133" spans="2:19" ht="24.75" customHeight="1" x14ac:dyDescent="0.15">
      <c r="B133" s="108"/>
      <c r="C133" s="105"/>
      <c r="D133" s="87"/>
      <c r="E133" s="60" t="str">
        <f>IFERROR(VLOOKUP(工单表[[#This Row],[责任人]],表3[[人员]:[岗位]],2,FALSE),"")</f>
        <v/>
      </c>
      <c r="F133" s="61"/>
      <c r="G133" s="105"/>
      <c r="H133" s="91"/>
      <c r="I133" s="105"/>
      <c r="J133" s="106"/>
      <c r="K13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3" s="88"/>
      <c r="M13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3" s="65"/>
      <c r="O133" s="75"/>
      <c r="P133" s="67"/>
      <c r="Q133" s="63"/>
      <c r="R133" s="68"/>
      <c r="S133" s="69"/>
    </row>
    <row r="134" spans="2:19" ht="24.75" customHeight="1" x14ac:dyDescent="0.15">
      <c r="B134" s="107"/>
      <c r="C134" s="85"/>
      <c r="D134" s="86"/>
      <c r="E134" s="60" t="str">
        <f>IFERROR(VLOOKUP(工单表[[#This Row],[责任人]],表3[[人员]:[岗位]],2,FALSE),"")</f>
        <v/>
      </c>
      <c r="F134" s="71"/>
      <c r="G134" s="85"/>
      <c r="H134" s="103"/>
      <c r="I134" s="85"/>
      <c r="J134" s="104"/>
      <c r="K13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4" s="85"/>
      <c r="M13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4" s="72"/>
      <c r="O134" s="73"/>
      <c r="P134" s="74"/>
      <c r="Q134" s="70"/>
      <c r="R134" s="79"/>
      <c r="S134" s="69"/>
    </row>
    <row r="135" spans="2:19" ht="24.75" customHeight="1" x14ac:dyDescent="0.15">
      <c r="B135" s="108"/>
      <c r="C135" s="105"/>
      <c r="D135" s="87"/>
      <c r="E135" s="60" t="str">
        <f>IFERROR(VLOOKUP(工单表[[#This Row],[责任人]],表3[[人员]:[岗位]],2,FALSE),"")</f>
        <v/>
      </c>
      <c r="F135" s="61"/>
      <c r="G135" s="105"/>
      <c r="H135" s="91"/>
      <c r="I135" s="105"/>
      <c r="J135" s="106"/>
      <c r="K13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5" s="88"/>
      <c r="M13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5" s="65"/>
      <c r="O135" s="75"/>
      <c r="P135" s="67"/>
      <c r="Q135" s="63"/>
      <c r="R135" s="68"/>
      <c r="S135" s="69"/>
    </row>
    <row r="136" spans="2:19" ht="24.75" customHeight="1" x14ac:dyDescent="0.15">
      <c r="B136" s="108"/>
      <c r="C136" s="105"/>
      <c r="D136" s="87"/>
      <c r="E136" s="60" t="str">
        <f>IFERROR(VLOOKUP(工单表[[#This Row],[责任人]],表3[[人员]:[岗位]],2,FALSE),"")</f>
        <v/>
      </c>
      <c r="F136" s="61"/>
      <c r="G136" s="105"/>
      <c r="H136" s="91"/>
      <c r="I136" s="105"/>
      <c r="J136" s="106"/>
      <c r="K13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6" s="88"/>
      <c r="M13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6" s="65"/>
      <c r="O136" s="75"/>
      <c r="P136" s="67"/>
      <c r="Q136" s="63"/>
      <c r="R136" s="68"/>
      <c r="S136" s="69"/>
    </row>
    <row r="137" spans="2:19" ht="24.75" customHeight="1" x14ac:dyDescent="0.15">
      <c r="B137" s="108"/>
      <c r="C137" s="105"/>
      <c r="D137" s="87"/>
      <c r="E137" s="60" t="str">
        <f>IFERROR(VLOOKUP(工单表[[#This Row],[责任人]],表3[[人员]:[岗位]],2,FALSE),"")</f>
        <v/>
      </c>
      <c r="F137" s="61"/>
      <c r="G137" s="105"/>
      <c r="H137" s="91"/>
      <c r="I137" s="105"/>
      <c r="J137" s="106"/>
      <c r="K13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7" s="88"/>
      <c r="M13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7" s="65"/>
      <c r="O137" s="75"/>
      <c r="P137" s="67"/>
      <c r="Q137" s="63"/>
      <c r="R137" s="68"/>
      <c r="S137" s="69"/>
    </row>
    <row r="138" spans="2:19" ht="24.75" customHeight="1" x14ac:dyDescent="0.15">
      <c r="B138" s="108"/>
      <c r="C138" s="105"/>
      <c r="D138" s="87"/>
      <c r="E138" s="60" t="str">
        <f>IFERROR(VLOOKUP(工单表[[#This Row],[责任人]],表3[[人员]:[岗位]],2,FALSE),"")</f>
        <v/>
      </c>
      <c r="F138" s="61"/>
      <c r="G138" s="105"/>
      <c r="H138" s="91"/>
      <c r="I138" s="105"/>
      <c r="J138" s="106"/>
      <c r="K13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8" s="88"/>
      <c r="M13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8" s="65"/>
      <c r="O138" s="75"/>
      <c r="P138" s="67"/>
      <c r="Q138" s="63"/>
      <c r="R138" s="68"/>
      <c r="S138" s="69"/>
    </row>
    <row r="139" spans="2:19" ht="24.75" customHeight="1" x14ac:dyDescent="0.15">
      <c r="B139" s="108"/>
      <c r="C139" s="105"/>
      <c r="D139" s="87"/>
      <c r="E139" s="60" t="str">
        <f>IFERROR(VLOOKUP(工单表[[#This Row],[责任人]],表3[[人员]:[岗位]],2,FALSE),"")</f>
        <v/>
      </c>
      <c r="F139" s="61"/>
      <c r="G139" s="105"/>
      <c r="H139" s="91"/>
      <c r="I139" s="105"/>
      <c r="J139" s="106"/>
      <c r="K13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39" s="88"/>
      <c r="M13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39" s="65"/>
      <c r="O139" s="75"/>
      <c r="P139" s="67"/>
      <c r="Q139" s="63"/>
      <c r="R139" s="68"/>
      <c r="S139" s="69"/>
    </row>
    <row r="140" spans="2:19" ht="24.75" customHeight="1" x14ac:dyDescent="0.15">
      <c r="B140" s="108"/>
      <c r="C140" s="105"/>
      <c r="D140" s="87"/>
      <c r="E140" s="60" t="str">
        <f>IFERROR(VLOOKUP(工单表[[#This Row],[责任人]],表3[[人员]:[岗位]],2,FALSE),"")</f>
        <v/>
      </c>
      <c r="F140" s="61"/>
      <c r="G140" s="105"/>
      <c r="H140" s="91"/>
      <c r="I140" s="105"/>
      <c r="J140" s="106"/>
      <c r="K14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0" s="88"/>
      <c r="M14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0" s="65"/>
      <c r="O140" s="75"/>
      <c r="P140" s="67"/>
      <c r="Q140" s="63"/>
      <c r="R140" s="68"/>
      <c r="S140" s="69"/>
    </row>
    <row r="141" spans="2:19" ht="24.75" customHeight="1" x14ac:dyDescent="0.15">
      <c r="B141" s="108"/>
      <c r="C141" s="105"/>
      <c r="D141" s="100"/>
      <c r="E141" s="60" t="str">
        <f>IFERROR(VLOOKUP(工单表[[#This Row],[责任人]],表3[[人员]:[岗位]],2,FALSE),"")</f>
        <v/>
      </c>
      <c r="F141" s="61"/>
      <c r="G141" s="105"/>
      <c r="H141" s="91"/>
      <c r="I141" s="105"/>
      <c r="J141" s="106"/>
      <c r="K14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1" s="88"/>
      <c r="M14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1" s="65"/>
      <c r="O141" s="75"/>
      <c r="P141" s="67"/>
      <c r="Q141" s="63"/>
      <c r="R141" s="68"/>
      <c r="S141" s="69"/>
    </row>
    <row r="142" spans="2:19" ht="24.75" customHeight="1" x14ac:dyDescent="0.15">
      <c r="B142" s="108"/>
      <c r="C142" s="105"/>
      <c r="D142" s="87"/>
      <c r="E142" s="60" t="str">
        <f>IFERROR(VLOOKUP(工单表[[#This Row],[责任人]],表3[[人员]:[岗位]],2,FALSE),"")</f>
        <v/>
      </c>
      <c r="F142" s="61"/>
      <c r="G142" s="105"/>
      <c r="H142" s="91"/>
      <c r="I142" s="105"/>
      <c r="J142" s="106"/>
      <c r="K14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2" s="88"/>
      <c r="M14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2" s="65"/>
      <c r="O142" s="75"/>
      <c r="P142" s="67"/>
      <c r="Q142" s="63"/>
      <c r="R142" s="68"/>
      <c r="S142" s="69"/>
    </row>
    <row r="143" spans="2:19" ht="24.75" customHeight="1" x14ac:dyDescent="0.15">
      <c r="B143" s="108"/>
      <c r="C143" s="105"/>
      <c r="D143" s="87"/>
      <c r="E143" s="60" t="str">
        <f>IFERROR(VLOOKUP(工单表[[#This Row],[责任人]],表3[[人员]:[岗位]],2,FALSE),"")</f>
        <v/>
      </c>
      <c r="F143" s="61"/>
      <c r="G143" s="105"/>
      <c r="H143" s="91"/>
      <c r="I143" s="105"/>
      <c r="J143" s="106"/>
      <c r="K14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3" s="88"/>
      <c r="M14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3" s="65"/>
      <c r="O143" s="75"/>
      <c r="P143" s="67"/>
      <c r="Q143" s="63"/>
      <c r="R143" s="68"/>
      <c r="S143" s="69"/>
    </row>
    <row r="144" spans="2:19" ht="24.75" customHeight="1" x14ac:dyDescent="0.15">
      <c r="B144" s="108"/>
      <c r="C144" s="105"/>
      <c r="D144" s="87"/>
      <c r="E144" s="60" t="str">
        <f>IFERROR(VLOOKUP(工单表[[#This Row],[责任人]],表3[[人员]:[岗位]],2,FALSE),"")</f>
        <v/>
      </c>
      <c r="F144" s="61"/>
      <c r="G144" s="105"/>
      <c r="H144" s="91"/>
      <c r="I144" s="105"/>
      <c r="J144" s="106"/>
      <c r="K14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4" s="88"/>
      <c r="M14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4" s="65"/>
      <c r="O144" s="75"/>
      <c r="P144" s="67"/>
      <c r="Q144" s="63"/>
      <c r="R144" s="68"/>
      <c r="S144" s="69"/>
    </row>
    <row r="145" spans="2:19" ht="24.75" customHeight="1" x14ac:dyDescent="0.15">
      <c r="B145" s="108"/>
      <c r="C145" s="105"/>
      <c r="D145" s="87"/>
      <c r="E145" s="60" t="str">
        <f>IFERROR(VLOOKUP(工单表[[#This Row],[责任人]],表3[[人员]:[岗位]],2,FALSE),"")</f>
        <v/>
      </c>
      <c r="F145" s="61"/>
      <c r="G145" s="105"/>
      <c r="H145" s="91"/>
      <c r="I145" s="105"/>
      <c r="J145" s="106"/>
      <c r="K14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5" s="88"/>
      <c r="M14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5" s="65"/>
      <c r="O145" s="75"/>
      <c r="P145" s="67"/>
      <c r="Q145" s="63"/>
      <c r="R145" s="68"/>
      <c r="S145" s="69"/>
    </row>
    <row r="146" spans="2:19" ht="24.75" customHeight="1" x14ac:dyDescent="0.15">
      <c r="B146" s="108"/>
      <c r="C146" s="105"/>
      <c r="D146" s="87"/>
      <c r="E146" s="60" t="str">
        <f>IFERROR(VLOOKUP(工单表[[#This Row],[责任人]],表3[[人员]:[岗位]],2,FALSE),"")</f>
        <v/>
      </c>
      <c r="F146" s="61"/>
      <c r="G146" s="105"/>
      <c r="H146" s="91"/>
      <c r="I146" s="105"/>
      <c r="J146" s="106"/>
      <c r="K14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6" s="88"/>
      <c r="M14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6" s="65"/>
      <c r="O146" s="75"/>
      <c r="P146" s="67"/>
      <c r="Q146" s="63"/>
      <c r="R146" s="68"/>
      <c r="S146" s="69"/>
    </row>
    <row r="147" spans="2:19" ht="24.75" customHeight="1" x14ac:dyDescent="0.15">
      <c r="B147" s="108"/>
      <c r="C147" s="105"/>
      <c r="D147" s="87"/>
      <c r="E147" s="60" t="str">
        <f>IFERROR(VLOOKUP(工单表[[#This Row],[责任人]],表3[[人员]:[岗位]],2,FALSE),"")</f>
        <v/>
      </c>
      <c r="F147" s="61"/>
      <c r="G147" s="105"/>
      <c r="H147" s="91"/>
      <c r="I147" s="105"/>
      <c r="J147" s="106"/>
      <c r="K14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7" s="88"/>
      <c r="M14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7" s="65"/>
      <c r="O147" s="75"/>
      <c r="P147" s="67"/>
      <c r="Q147" s="63"/>
      <c r="R147" s="68"/>
      <c r="S147" s="69"/>
    </row>
    <row r="148" spans="2:19" ht="24.75" customHeight="1" x14ac:dyDescent="0.15">
      <c r="B148" s="108"/>
      <c r="C148" s="105"/>
      <c r="D148" s="87"/>
      <c r="E148" s="60" t="str">
        <f>IFERROR(VLOOKUP(工单表[[#This Row],[责任人]],表3[[人员]:[岗位]],2,FALSE),"")</f>
        <v/>
      </c>
      <c r="F148" s="61"/>
      <c r="G148" s="105"/>
      <c r="H148" s="91"/>
      <c r="I148" s="105"/>
      <c r="J148" s="106"/>
      <c r="K14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8" s="88"/>
      <c r="M14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8" s="65"/>
      <c r="O148" s="75"/>
      <c r="P148" s="67"/>
      <c r="Q148" s="63"/>
      <c r="R148" s="68"/>
      <c r="S148" s="69"/>
    </row>
    <row r="149" spans="2:19" ht="24.75" customHeight="1" x14ac:dyDescent="0.15">
      <c r="B149" s="108"/>
      <c r="C149" s="105"/>
      <c r="D149" s="87"/>
      <c r="E149" s="60" t="str">
        <f>IFERROR(VLOOKUP(工单表[[#This Row],[责任人]],表3[[人员]:[岗位]],2,FALSE),"")</f>
        <v/>
      </c>
      <c r="F149" s="61"/>
      <c r="G149" s="105"/>
      <c r="H149" s="91"/>
      <c r="I149" s="105"/>
      <c r="J149" s="106"/>
      <c r="K14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49" s="88"/>
      <c r="M14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49" s="65"/>
      <c r="O149" s="75"/>
      <c r="P149" s="67"/>
      <c r="Q149" s="63"/>
      <c r="R149" s="68"/>
      <c r="S149" s="69"/>
    </row>
    <row r="150" spans="2:19" ht="24.75" customHeight="1" x14ac:dyDescent="0.15">
      <c r="B150" s="108"/>
      <c r="C150" s="105"/>
      <c r="D150" s="87"/>
      <c r="E150" s="60" t="str">
        <f>IFERROR(VLOOKUP(工单表[[#This Row],[责任人]],表3[[人员]:[岗位]],2,FALSE),"")</f>
        <v/>
      </c>
      <c r="F150" s="61"/>
      <c r="G150" s="105"/>
      <c r="H150" s="91"/>
      <c r="I150" s="105"/>
      <c r="J150" s="106"/>
      <c r="K15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0" s="88"/>
      <c r="M15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0" s="65"/>
      <c r="O150" s="75"/>
      <c r="P150" s="67"/>
      <c r="Q150" s="63"/>
      <c r="R150" s="68"/>
      <c r="S150" s="69"/>
    </row>
    <row r="151" spans="2:19" ht="24.75" customHeight="1" x14ac:dyDescent="0.15">
      <c r="B151" s="108"/>
      <c r="C151" s="105"/>
      <c r="D151" s="87"/>
      <c r="E151" s="60" t="str">
        <f>IFERROR(VLOOKUP(工单表[[#This Row],[责任人]],表3[[人员]:[岗位]],2,FALSE),"")</f>
        <v/>
      </c>
      <c r="F151" s="61"/>
      <c r="G151" s="105"/>
      <c r="H151" s="91"/>
      <c r="I151" s="105"/>
      <c r="J151" s="106"/>
      <c r="K15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1" s="88"/>
      <c r="M15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1" s="65"/>
      <c r="O151" s="75"/>
      <c r="P151" s="67"/>
      <c r="Q151" s="63"/>
      <c r="R151" s="68"/>
      <c r="S151" s="69"/>
    </row>
    <row r="152" spans="2:19" ht="24.75" customHeight="1" x14ac:dyDescent="0.15">
      <c r="B152" s="108"/>
      <c r="C152" s="105"/>
      <c r="D152" s="87"/>
      <c r="E152" s="60" t="str">
        <f>IFERROR(VLOOKUP(工单表[[#This Row],[责任人]],表3[[人员]:[岗位]],2,FALSE),"")</f>
        <v/>
      </c>
      <c r="F152" s="61"/>
      <c r="G152" s="105"/>
      <c r="H152" s="91"/>
      <c r="I152" s="105"/>
      <c r="J152" s="106"/>
      <c r="K15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2" s="88"/>
      <c r="M15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2" s="65"/>
      <c r="O152" s="75"/>
      <c r="P152" s="67"/>
      <c r="Q152" s="63"/>
      <c r="R152" s="68"/>
      <c r="S152" s="69"/>
    </row>
    <row r="153" spans="2:19" ht="24.75" customHeight="1" x14ac:dyDescent="0.15">
      <c r="B153" s="108"/>
      <c r="C153" s="105"/>
      <c r="D153" s="87"/>
      <c r="E153" s="60" t="str">
        <f>IFERROR(VLOOKUP(工单表[[#This Row],[责任人]],表3[[人员]:[岗位]],2,FALSE),"")</f>
        <v/>
      </c>
      <c r="F153" s="61"/>
      <c r="G153" s="105"/>
      <c r="H153" s="91"/>
      <c r="I153" s="105"/>
      <c r="J153" s="106"/>
      <c r="K15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3" s="88"/>
      <c r="M15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3" s="65"/>
      <c r="O153" s="75"/>
      <c r="P153" s="67"/>
      <c r="Q153" s="63"/>
      <c r="R153" s="68"/>
      <c r="S153" s="69"/>
    </row>
    <row r="154" spans="2:19" ht="24.75" customHeight="1" x14ac:dyDescent="0.15">
      <c r="B154" s="108"/>
      <c r="C154" s="105"/>
      <c r="D154" s="87"/>
      <c r="E154" s="60" t="str">
        <f>IFERROR(VLOOKUP(工单表[[#This Row],[责任人]],表3[[人员]:[岗位]],2,FALSE),"")</f>
        <v/>
      </c>
      <c r="F154" s="61"/>
      <c r="G154" s="105"/>
      <c r="H154" s="91"/>
      <c r="I154" s="105"/>
      <c r="J154" s="106"/>
      <c r="K15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4" s="88"/>
      <c r="M15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4" s="65"/>
      <c r="O154" s="75"/>
      <c r="P154" s="67"/>
      <c r="Q154" s="63"/>
      <c r="R154" s="68"/>
      <c r="S154" s="69"/>
    </row>
    <row r="155" spans="2:19" ht="24.75" customHeight="1" x14ac:dyDescent="0.15">
      <c r="B155" s="108"/>
      <c r="C155" s="105"/>
      <c r="D155" s="87"/>
      <c r="E155" s="60" t="str">
        <f>IFERROR(VLOOKUP(工单表[[#This Row],[责任人]],表3[[人员]:[岗位]],2,FALSE),"")</f>
        <v/>
      </c>
      <c r="F155" s="61"/>
      <c r="G155" s="105"/>
      <c r="H155" s="91"/>
      <c r="I155" s="105"/>
      <c r="J155" s="106"/>
      <c r="K15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5" s="88"/>
      <c r="M15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5" s="65"/>
      <c r="O155" s="75"/>
      <c r="P155" s="67"/>
      <c r="Q155" s="63"/>
      <c r="R155" s="68"/>
      <c r="S155" s="69"/>
    </row>
    <row r="156" spans="2:19" ht="24.75" customHeight="1" x14ac:dyDescent="0.15">
      <c r="B156" s="108"/>
      <c r="C156" s="105"/>
      <c r="D156" s="87"/>
      <c r="E156" s="60" t="str">
        <f>IFERROR(VLOOKUP(工单表[[#This Row],[责任人]],表3[[人员]:[岗位]],2,FALSE),"")</f>
        <v/>
      </c>
      <c r="F156" s="61"/>
      <c r="G156" s="105"/>
      <c r="H156" s="91"/>
      <c r="I156" s="105"/>
      <c r="J156" s="106"/>
      <c r="K15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6" s="88"/>
      <c r="M15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6" s="65"/>
      <c r="O156" s="75"/>
      <c r="P156" s="67"/>
      <c r="Q156" s="63"/>
      <c r="R156" s="68"/>
      <c r="S156" s="69"/>
    </row>
    <row r="157" spans="2:19" ht="24.75" customHeight="1" x14ac:dyDescent="0.15">
      <c r="B157" s="108"/>
      <c r="C157" s="105"/>
      <c r="D157" s="87"/>
      <c r="E157" s="60" t="str">
        <f>IFERROR(VLOOKUP(工单表[[#This Row],[责任人]],表3[[人员]:[岗位]],2,FALSE),"")</f>
        <v/>
      </c>
      <c r="F157" s="61"/>
      <c r="G157" s="105"/>
      <c r="H157" s="91"/>
      <c r="I157" s="105"/>
      <c r="J157" s="106"/>
      <c r="K15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7" s="88"/>
      <c r="M15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7" s="65"/>
      <c r="O157" s="75"/>
      <c r="P157" s="67"/>
      <c r="Q157" s="63"/>
      <c r="R157" s="68"/>
      <c r="S157" s="69"/>
    </row>
    <row r="158" spans="2:19" ht="24.75" customHeight="1" x14ac:dyDescent="0.15">
      <c r="B158" s="108"/>
      <c r="C158" s="105"/>
      <c r="D158" s="87"/>
      <c r="E158" s="60" t="str">
        <f>IFERROR(VLOOKUP(工单表[[#This Row],[责任人]],表3[[人员]:[岗位]],2,FALSE),"")</f>
        <v/>
      </c>
      <c r="F158" s="61"/>
      <c r="G158" s="105"/>
      <c r="H158" s="91"/>
      <c r="I158" s="105"/>
      <c r="J158" s="106"/>
      <c r="K15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8" s="88"/>
      <c r="M15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8" s="65"/>
      <c r="O158" s="75"/>
      <c r="P158" s="67"/>
      <c r="Q158" s="63"/>
      <c r="R158" s="68"/>
      <c r="S158" s="69"/>
    </row>
    <row r="159" spans="2:19" ht="24.75" customHeight="1" x14ac:dyDescent="0.15">
      <c r="B159" s="108"/>
      <c r="C159" s="105"/>
      <c r="D159" s="87"/>
      <c r="E159" s="60" t="str">
        <f>IFERROR(VLOOKUP(工单表[[#This Row],[责任人]],表3[[人员]:[岗位]],2,FALSE),"")</f>
        <v/>
      </c>
      <c r="F159" s="61"/>
      <c r="G159" s="105"/>
      <c r="H159" s="91"/>
      <c r="I159" s="105"/>
      <c r="J159" s="106"/>
      <c r="K15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59" s="88"/>
      <c r="M15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59" s="65"/>
      <c r="O159" s="75"/>
      <c r="P159" s="67"/>
      <c r="Q159" s="63"/>
      <c r="R159" s="68"/>
      <c r="S159" s="69"/>
    </row>
    <row r="160" spans="2:19" ht="24.75" customHeight="1" x14ac:dyDescent="0.15">
      <c r="B160" s="108"/>
      <c r="C160" s="105"/>
      <c r="D160" s="87"/>
      <c r="E160" s="60" t="str">
        <f>IFERROR(VLOOKUP(工单表[[#This Row],[责任人]],表3[[人员]:[岗位]],2,FALSE),"")</f>
        <v/>
      </c>
      <c r="F160" s="61"/>
      <c r="G160" s="105"/>
      <c r="H160" s="91"/>
      <c r="I160" s="105"/>
      <c r="J160" s="106"/>
      <c r="K16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0" s="88"/>
      <c r="M16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0" s="65"/>
      <c r="O160" s="75"/>
      <c r="P160" s="67"/>
      <c r="Q160" s="63"/>
      <c r="R160" s="68"/>
      <c r="S160" s="69"/>
    </row>
    <row r="161" spans="2:19" ht="24.75" customHeight="1" x14ac:dyDescent="0.15">
      <c r="B161" s="108"/>
      <c r="C161" s="105"/>
      <c r="D161" s="87"/>
      <c r="E161" s="60" t="str">
        <f>IFERROR(VLOOKUP(工单表[[#This Row],[责任人]],表3[[人员]:[岗位]],2,FALSE),"")</f>
        <v/>
      </c>
      <c r="F161" s="61"/>
      <c r="G161" s="105"/>
      <c r="H161" s="91"/>
      <c r="I161" s="105"/>
      <c r="J161" s="106"/>
      <c r="K16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1" s="88"/>
      <c r="M16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1" s="65"/>
      <c r="O161" s="75"/>
      <c r="P161" s="67"/>
      <c r="Q161" s="63"/>
      <c r="R161" s="68"/>
      <c r="S161" s="69"/>
    </row>
    <row r="162" spans="2:19" ht="24.75" customHeight="1" x14ac:dyDescent="0.15">
      <c r="B162" s="108"/>
      <c r="C162" s="105"/>
      <c r="D162" s="87"/>
      <c r="E162" s="60" t="str">
        <f>IFERROR(VLOOKUP(工单表[[#This Row],[责任人]],表3[[人员]:[岗位]],2,FALSE),"")</f>
        <v/>
      </c>
      <c r="F162" s="61"/>
      <c r="G162" s="105"/>
      <c r="H162" s="91"/>
      <c r="I162" s="105"/>
      <c r="J162" s="106"/>
      <c r="K16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2" s="88"/>
      <c r="M16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2" s="65"/>
      <c r="O162" s="75"/>
      <c r="P162" s="67"/>
      <c r="Q162" s="63"/>
      <c r="R162" s="68"/>
      <c r="S162" s="69"/>
    </row>
    <row r="163" spans="2:19" ht="24.75" customHeight="1" x14ac:dyDescent="0.15">
      <c r="B163" s="108"/>
      <c r="C163" s="105"/>
      <c r="D163" s="87"/>
      <c r="E163" s="60" t="str">
        <f>IFERROR(VLOOKUP(工单表[[#This Row],[责任人]],表3[[人员]:[岗位]],2,FALSE),"")</f>
        <v/>
      </c>
      <c r="F163" s="61"/>
      <c r="G163" s="105"/>
      <c r="H163" s="91"/>
      <c r="I163" s="105"/>
      <c r="J163" s="106"/>
      <c r="K16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3" s="88"/>
      <c r="M16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3" s="65"/>
      <c r="O163" s="75"/>
      <c r="P163" s="67"/>
      <c r="Q163" s="63"/>
      <c r="R163" s="68"/>
      <c r="S163" s="69"/>
    </row>
    <row r="164" spans="2:19" ht="24.75" customHeight="1" x14ac:dyDescent="0.15">
      <c r="B164" s="108"/>
      <c r="C164" s="105"/>
      <c r="D164" s="87"/>
      <c r="E164" s="60" t="str">
        <f>IFERROR(VLOOKUP(工单表[[#This Row],[责任人]],表3[[人员]:[岗位]],2,FALSE),"")</f>
        <v/>
      </c>
      <c r="F164" s="61"/>
      <c r="G164" s="105"/>
      <c r="H164" s="91"/>
      <c r="I164" s="105"/>
      <c r="J164" s="106"/>
      <c r="K16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4" s="88"/>
      <c r="M16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4" s="65"/>
      <c r="O164" s="75"/>
      <c r="P164" s="67"/>
      <c r="Q164" s="63"/>
      <c r="R164" s="68"/>
      <c r="S164" s="69"/>
    </row>
    <row r="165" spans="2:19" ht="24.75" customHeight="1" x14ac:dyDescent="0.15">
      <c r="B165" s="108"/>
      <c r="C165" s="105"/>
      <c r="D165" s="87"/>
      <c r="E165" s="60" t="str">
        <f>IFERROR(VLOOKUP(工单表[[#This Row],[责任人]],表3[[人员]:[岗位]],2,FALSE),"")</f>
        <v/>
      </c>
      <c r="F165" s="61"/>
      <c r="G165" s="105"/>
      <c r="H165" s="91"/>
      <c r="I165" s="105"/>
      <c r="J165" s="106"/>
      <c r="K16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5" s="88"/>
      <c r="M16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5" s="65"/>
      <c r="O165" s="75"/>
      <c r="P165" s="67"/>
      <c r="Q165" s="63"/>
      <c r="R165" s="68"/>
      <c r="S165" s="69"/>
    </row>
    <row r="166" spans="2:19" ht="24.75" customHeight="1" x14ac:dyDescent="0.15">
      <c r="B166" s="108"/>
      <c r="C166" s="105"/>
      <c r="D166" s="87"/>
      <c r="E166" s="60" t="str">
        <f>IFERROR(VLOOKUP(工单表[[#This Row],[责任人]],表3[[人员]:[岗位]],2,FALSE),"")</f>
        <v/>
      </c>
      <c r="F166" s="61"/>
      <c r="G166" s="105"/>
      <c r="H166" s="91"/>
      <c r="I166" s="105"/>
      <c r="J166" s="106"/>
      <c r="K16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6" s="88"/>
      <c r="M16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6" s="65"/>
      <c r="O166" s="75"/>
      <c r="P166" s="67"/>
      <c r="Q166" s="63"/>
      <c r="R166" s="68"/>
      <c r="S166" s="69"/>
    </row>
    <row r="167" spans="2:19" ht="24.75" customHeight="1" x14ac:dyDescent="0.15">
      <c r="B167" s="108"/>
      <c r="C167" s="105"/>
      <c r="D167" s="87"/>
      <c r="E167" s="60" t="str">
        <f>IFERROR(VLOOKUP(工单表[[#This Row],[责任人]],表3[[人员]:[岗位]],2,FALSE),"")</f>
        <v/>
      </c>
      <c r="F167" s="61"/>
      <c r="G167" s="105"/>
      <c r="H167" s="91"/>
      <c r="I167" s="105"/>
      <c r="J167" s="106"/>
      <c r="K16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7" s="88"/>
      <c r="M16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7" s="65"/>
      <c r="O167" s="75"/>
      <c r="P167" s="67"/>
      <c r="Q167" s="63"/>
      <c r="R167" s="68"/>
      <c r="S167" s="69"/>
    </row>
    <row r="168" spans="2:19" ht="24.75" customHeight="1" x14ac:dyDescent="0.15">
      <c r="B168" s="108"/>
      <c r="C168" s="105"/>
      <c r="D168" s="87"/>
      <c r="E168" s="60" t="str">
        <f>IFERROR(VLOOKUP(工单表[[#This Row],[责任人]],表3[[人员]:[岗位]],2,FALSE),"")</f>
        <v/>
      </c>
      <c r="F168" s="61"/>
      <c r="G168" s="105"/>
      <c r="H168" s="91"/>
      <c r="I168" s="105"/>
      <c r="J168" s="106"/>
      <c r="K16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8" s="88"/>
      <c r="M16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8" s="65"/>
      <c r="O168" s="75"/>
      <c r="P168" s="67"/>
      <c r="Q168" s="63"/>
      <c r="R168" s="68"/>
      <c r="S168" s="69"/>
    </row>
    <row r="169" spans="2:19" ht="24.75" customHeight="1" x14ac:dyDescent="0.15">
      <c r="B169" s="108"/>
      <c r="C169" s="105"/>
      <c r="D169" s="87"/>
      <c r="E169" s="60" t="str">
        <f>IFERROR(VLOOKUP(工单表[[#This Row],[责任人]],表3[[人员]:[岗位]],2,FALSE),"")</f>
        <v/>
      </c>
      <c r="F169" s="61"/>
      <c r="G169" s="105"/>
      <c r="H169" s="91"/>
      <c r="I169" s="105"/>
      <c r="J169" s="106"/>
      <c r="K16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69" s="88"/>
      <c r="M16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69" s="65"/>
      <c r="O169" s="75"/>
      <c r="P169" s="67"/>
      <c r="Q169" s="63"/>
      <c r="R169" s="68"/>
      <c r="S169" s="69"/>
    </row>
    <row r="170" spans="2:19" ht="24.75" customHeight="1" x14ac:dyDescent="0.15">
      <c r="B170" s="108"/>
      <c r="C170" s="105"/>
      <c r="D170" s="87"/>
      <c r="E170" s="60" t="str">
        <f>IFERROR(VLOOKUP(工单表[[#This Row],[责任人]],表3[[人员]:[岗位]],2,FALSE),"")</f>
        <v/>
      </c>
      <c r="F170" s="61"/>
      <c r="G170" s="105"/>
      <c r="H170" s="91"/>
      <c r="I170" s="105"/>
      <c r="J170" s="106"/>
      <c r="K17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0" s="88"/>
      <c r="M17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0" s="65"/>
      <c r="O170" s="75"/>
      <c r="P170" s="67"/>
      <c r="Q170" s="63"/>
      <c r="R170" s="68"/>
      <c r="S170" s="69"/>
    </row>
    <row r="171" spans="2:19" ht="24.75" customHeight="1" x14ac:dyDescent="0.15">
      <c r="B171" s="108"/>
      <c r="C171" s="105"/>
      <c r="D171" s="87"/>
      <c r="E171" s="60" t="str">
        <f>IFERROR(VLOOKUP(工单表[[#This Row],[责任人]],表3[[人员]:[岗位]],2,FALSE),"")</f>
        <v/>
      </c>
      <c r="F171" s="61"/>
      <c r="G171" s="105"/>
      <c r="H171" s="91"/>
      <c r="I171" s="105"/>
      <c r="J171" s="106"/>
      <c r="K17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1" s="88"/>
      <c r="M17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1" s="65"/>
      <c r="O171" s="75"/>
      <c r="P171" s="67"/>
      <c r="Q171" s="63"/>
      <c r="R171" s="68"/>
      <c r="S171" s="69"/>
    </row>
    <row r="172" spans="2:19" ht="24.75" customHeight="1" x14ac:dyDescent="0.15">
      <c r="B172" s="108"/>
      <c r="C172" s="105"/>
      <c r="D172" s="87"/>
      <c r="E172" s="60" t="str">
        <f>IFERROR(VLOOKUP(工单表[[#This Row],[责任人]],表3[[人员]:[岗位]],2,FALSE),"")</f>
        <v/>
      </c>
      <c r="F172" s="61"/>
      <c r="G172" s="105"/>
      <c r="H172" s="91"/>
      <c r="I172" s="105"/>
      <c r="J172" s="106"/>
      <c r="K17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2" s="88"/>
      <c r="M17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2" s="65"/>
      <c r="O172" s="75"/>
      <c r="P172" s="67"/>
      <c r="Q172" s="63"/>
      <c r="R172" s="68"/>
      <c r="S172" s="69"/>
    </row>
    <row r="173" spans="2:19" ht="24.75" customHeight="1" x14ac:dyDescent="0.15">
      <c r="B173" s="108"/>
      <c r="C173" s="105"/>
      <c r="D173" s="87"/>
      <c r="E173" s="60" t="str">
        <f>IFERROR(VLOOKUP(工单表[[#This Row],[责任人]],表3[[人员]:[岗位]],2,FALSE),"")</f>
        <v/>
      </c>
      <c r="F173" s="61"/>
      <c r="G173" s="105"/>
      <c r="H173" s="91"/>
      <c r="I173" s="105"/>
      <c r="J173" s="106"/>
      <c r="K17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3" s="88"/>
      <c r="M17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3" s="65"/>
      <c r="O173" s="75"/>
      <c r="P173" s="67"/>
      <c r="Q173" s="63"/>
      <c r="R173" s="68"/>
      <c r="S173" s="69"/>
    </row>
    <row r="174" spans="2:19" ht="24.75" customHeight="1" x14ac:dyDescent="0.15">
      <c r="B174" s="108"/>
      <c r="C174" s="105"/>
      <c r="D174" s="87"/>
      <c r="E174" s="60" t="str">
        <f>IFERROR(VLOOKUP(工单表[[#This Row],[责任人]],表3[[人员]:[岗位]],2,FALSE),"")</f>
        <v/>
      </c>
      <c r="F174" s="61"/>
      <c r="G174" s="105"/>
      <c r="H174" s="91"/>
      <c r="I174" s="105"/>
      <c r="J174" s="106"/>
      <c r="K17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4" s="88"/>
      <c r="M17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4" s="65"/>
      <c r="O174" s="75"/>
      <c r="P174" s="67"/>
      <c r="Q174" s="63"/>
      <c r="R174" s="68"/>
      <c r="S174" s="69"/>
    </row>
    <row r="175" spans="2:19" ht="24.75" customHeight="1" x14ac:dyDescent="0.15">
      <c r="B175" s="108"/>
      <c r="C175" s="105"/>
      <c r="D175" s="87"/>
      <c r="E175" s="60" t="str">
        <f>IFERROR(VLOOKUP(工单表[[#This Row],[责任人]],表3[[人员]:[岗位]],2,FALSE),"")</f>
        <v/>
      </c>
      <c r="F175" s="61"/>
      <c r="G175" s="105"/>
      <c r="H175" s="91"/>
      <c r="I175" s="105"/>
      <c r="J175" s="106"/>
      <c r="K17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5" s="88"/>
      <c r="M17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5" s="65"/>
      <c r="O175" s="75"/>
      <c r="P175" s="67"/>
      <c r="Q175" s="63"/>
      <c r="R175" s="68"/>
      <c r="S175" s="69"/>
    </row>
    <row r="176" spans="2:19" ht="24.75" customHeight="1" x14ac:dyDescent="0.15">
      <c r="B176" s="108"/>
      <c r="C176" s="105"/>
      <c r="D176" s="87"/>
      <c r="E176" s="60" t="str">
        <f>IFERROR(VLOOKUP(工单表[[#This Row],[责任人]],表3[[人员]:[岗位]],2,FALSE),"")</f>
        <v/>
      </c>
      <c r="F176" s="61"/>
      <c r="G176" s="105"/>
      <c r="H176" s="91"/>
      <c r="I176" s="105"/>
      <c r="J176" s="106"/>
      <c r="K17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6" s="88"/>
      <c r="M17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6" s="65"/>
      <c r="O176" s="75"/>
      <c r="P176" s="67"/>
      <c r="Q176" s="63"/>
      <c r="R176" s="68"/>
      <c r="S176" s="69"/>
    </row>
    <row r="177" spans="2:19" ht="24.75" customHeight="1" x14ac:dyDescent="0.15">
      <c r="B177" s="108"/>
      <c r="C177" s="105"/>
      <c r="D177" s="87"/>
      <c r="E177" s="60" t="str">
        <f>IFERROR(VLOOKUP(工单表[[#This Row],[责任人]],表3[[人员]:[岗位]],2,FALSE),"")</f>
        <v/>
      </c>
      <c r="F177" s="61"/>
      <c r="G177" s="105"/>
      <c r="H177" s="91"/>
      <c r="I177" s="105"/>
      <c r="J177" s="106"/>
      <c r="K17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7" s="88"/>
      <c r="M17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7" s="65"/>
      <c r="O177" s="75"/>
      <c r="P177" s="67"/>
      <c r="Q177" s="63"/>
      <c r="R177" s="68"/>
      <c r="S177" s="69"/>
    </row>
    <row r="178" spans="2:19" ht="24.75" customHeight="1" x14ac:dyDescent="0.15">
      <c r="B178" s="108"/>
      <c r="C178" s="105"/>
      <c r="D178" s="87"/>
      <c r="E178" s="60" t="str">
        <f>IFERROR(VLOOKUP(工单表[[#This Row],[责任人]],表3[[人员]:[岗位]],2,FALSE),"")</f>
        <v/>
      </c>
      <c r="F178" s="61"/>
      <c r="G178" s="105"/>
      <c r="H178" s="91"/>
      <c r="I178" s="105"/>
      <c r="J178" s="106"/>
      <c r="K17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8" s="88"/>
      <c r="M17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8" s="65"/>
      <c r="O178" s="75"/>
      <c r="P178" s="67"/>
      <c r="Q178" s="63"/>
      <c r="R178" s="68"/>
      <c r="S178" s="69"/>
    </row>
    <row r="179" spans="2:19" ht="24.75" customHeight="1" x14ac:dyDescent="0.15">
      <c r="B179" s="108"/>
      <c r="C179" s="105"/>
      <c r="D179" s="87"/>
      <c r="E179" s="60" t="str">
        <f>IFERROR(VLOOKUP(工单表[[#This Row],[责任人]],表3[[人员]:[岗位]],2,FALSE),"")</f>
        <v/>
      </c>
      <c r="F179" s="61"/>
      <c r="G179" s="105"/>
      <c r="H179" s="91"/>
      <c r="I179" s="105"/>
      <c r="J179" s="106"/>
      <c r="K17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79" s="88"/>
      <c r="M17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79" s="65"/>
      <c r="O179" s="75"/>
      <c r="P179" s="67"/>
      <c r="Q179" s="63"/>
      <c r="R179" s="68"/>
      <c r="S179" s="69"/>
    </row>
    <row r="180" spans="2:19" ht="24.75" customHeight="1" x14ac:dyDescent="0.15">
      <c r="B180" s="108"/>
      <c r="C180" s="105"/>
      <c r="D180" s="87"/>
      <c r="E180" s="60" t="str">
        <f>IFERROR(VLOOKUP(工单表[[#This Row],[责任人]],表3[[人员]:[岗位]],2,FALSE),"")</f>
        <v/>
      </c>
      <c r="F180" s="61"/>
      <c r="G180" s="105"/>
      <c r="H180" s="91"/>
      <c r="I180" s="105"/>
      <c r="J180" s="106"/>
      <c r="K18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0" s="88"/>
      <c r="M18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0" s="65"/>
      <c r="O180" s="75"/>
      <c r="P180" s="67"/>
      <c r="Q180" s="63"/>
      <c r="R180" s="68"/>
      <c r="S180" s="69"/>
    </row>
    <row r="181" spans="2:19" ht="24.75" customHeight="1" x14ac:dyDescent="0.15">
      <c r="B181" s="108"/>
      <c r="C181" s="105"/>
      <c r="D181" s="87"/>
      <c r="E181" s="60" t="str">
        <f>IFERROR(VLOOKUP(工单表[[#This Row],[责任人]],表3[[人员]:[岗位]],2,FALSE),"")</f>
        <v/>
      </c>
      <c r="F181" s="61"/>
      <c r="G181" s="105"/>
      <c r="H181" s="91"/>
      <c r="I181" s="105"/>
      <c r="J181" s="106"/>
      <c r="K18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1" s="88"/>
      <c r="M18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1" s="65"/>
      <c r="O181" s="75"/>
      <c r="P181" s="67"/>
      <c r="Q181" s="63"/>
      <c r="R181" s="68"/>
      <c r="S181" s="69"/>
    </row>
    <row r="182" spans="2:19" ht="24.75" customHeight="1" x14ac:dyDescent="0.15">
      <c r="B182" s="108"/>
      <c r="C182" s="105"/>
      <c r="D182" s="87"/>
      <c r="E182" s="60" t="str">
        <f>IFERROR(VLOOKUP(工单表[[#This Row],[责任人]],表3[[人员]:[岗位]],2,FALSE),"")</f>
        <v/>
      </c>
      <c r="F182" s="61"/>
      <c r="G182" s="105"/>
      <c r="H182" s="91"/>
      <c r="I182" s="105"/>
      <c r="J182" s="106"/>
      <c r="K18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2" s="88"/>
      <c r="M18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2" s="65"/>
      <c r="O182" s="75"/>
      <c r="P182" s="67"/>
      <c r="Q182" s="63"/>
      <c r="R182" s="68"/>
      <c r="S182" s="69"/>
    </row>
    <row r="183" spans="2:19" ht="24.75" customHeight="1" x14ac:dyDescent="0.15">
      <c r="B183" s="108"/>
      <c r="C183" s="105"/>
      <c r="D183" s="87"/>
      <c r="E183" s="60" t="str">
        <f>IFERROR(VLOOKUP(工单表[[#This Row],[责任人]],表3[[人员]:[岗位]],2,FALSE),"")</f>
        <v/>
      </c>
      <c r="F183" s="61"/>
      <c r="G183" s="105"/>
      <c r="H183" s="91"/>
      <c r="I183" s="105"/>
      <c r="J183" s="106"/>
      <c r="K18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3" s="88"/>
      <c r="M18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3" s="65"/>
      <c r="O183" s="75"/>
      <c r="P183" s="67"/>
      <c r="Q183" s="63"/>
      <c r="R183" s="68"/>
      <c r="S183" s="69"/>
    </row>
    <row r="184" spans="2:19" ht="24.75" customHeight="1" x14ac:dyDescent="0.15">
      <c r="B184" s="108"/>
      <c r="C184" s="105"/>
      <c r="D184" s="87"/>
      <c r="E184" s="60" t="str">
        <f>IFERROR(VLOOKUP(工单表[[#This Row],[责任人]],表3[[人员]:[岗位]],2,FALSE),"")</f>
        <v/>
      </c>
      <c r="F184" s="61"/>
      <c r="G184" s="105"/>
      <c r="H184" s="91"/>
      <c r="I184" s="105"/>
      <c r="J184" s="106"/>
      <c r="K18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4" s="88"/>
      <c r="M18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4" s="65"/>
      <c r="O184" s="75"/>
      <c r="P184" s="67"/>
      <c r="Q184" s="63"/>
      <c r="R184" s="68"/>
      <c r="S184" s="69"/>
    </row>
    <row r="185" spans="2:19" ht="24.75" customHeight="1" x14ac:dyDescent="0.15">
      <c r="B185" s="108"/>
      <c r="C185" s="105"/>
      <c r="D185" s="87"/>
      <c r="E185" s="60" t="str">
        <f>IFERROR(VLOOKUP(工单表[[#This Row],[责任人]],表3[[人员]:[岗位]],2,FALSE),"")</f>
        <v/>
      </c>
      <c r="F185" s="61"/>
      <c r="G185" s="105"/>
      <c r="H185" s="91"/>
      <c r="I185" s="105"/>
      <c r="J185" s="106"/>
      <c r="K18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5" s="88"/>
      <c r="M18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5" s="65"/>
      <c r="O185" s="75"/>
      <c r="P185" s="67"/>
      <c r="Q185" s="63"/>
      <c r="R185" s="68"/>
      <c r="S185" s="69"/>
    </row>
    <row r="186" spans="2:19" ht="24.75" customHeight="1" x14ac:dyDescent="0.15">
      <c r="B186" s="108"/>
      <c r="C186" s="105"/>
      <c r="D186" s="87"/>
      <c r="E186" s="60" t="str">
        <f>IFERROR(VLOOKUP(工单表[[#This Row],[责任人]],表3[[人员]:[岗位]],2,FALSE),"")</f>
        <v/>
      </c>
      <c r="F186" s="61"/>
      <c r="G186" s="105"/>
      <c r="H186" s="91"/>
      <c r="I186" s="105"/>
      <c r="J186" s="106"/>
      <c r="K18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6" s="88"/>
      <c r="M18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6" s="65"/>
      <c r="O186" s="75"/>
      <c r="P186" s="67"/>
      <c r="Q186" s="63"/>
      <c r="R186" s="68"/>
      <c r="S186" s="69"/>
    </row>
    <row r="187" spans="2:19" ht="24.75" customHeight="1" x14ac:dyDescent="0.15">
      <c r="B187" s="108"/>
      <c r="C187" s="105"/>
      <c r="D187" s="87"/>
      <c r="E187" s="60" t="str">
        <f>IFERROR(VLOOKUP(工单表[[#This Row],[责任人]],表3[[人员]:[岗位]],2,FALSE),"")</f>
        <v/>
      </c>
      <c r="F187" s="61"/>
      <c r="G187" s="105"/>
      <c r="H187" s="91"/>
      <c r="I187" s="105"/>
      <c r="J187" s="106"/>
      <c r="K18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7" s="88"/>
      <c r="M18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7" s="65"/>
      <c r="O187" s="75"/>
      <c r="P187" s="67"/>
      <c r="Q187" s="63"/>
      <c r="R187" s="68"/>
      <c r="S187" s="69"/>
    </row>
    <row r="188" spans="2:19" ht="24.75" customHeight="1" x14ac:dyDescent="0.15">
      <c r="B188" s="108"/>
      <c r="C188" s="105"/>
      <c r="D188" s="87"/>
      <c r="E188" s="60" t="str">
        <f>IFERROR(VLOOKUP(工单表[[#This Row],[责任人]],表3[[人员]:[岗位]],2,FALSE),"")</f>
        <v/>
      </c>
      <c r="F188" s="61"/>
      <c r="G188" s="105"/>
      <c r="H188" s="91"/>
      <c r="I188" s="105"/>
      <c r="J188" s="106"/>
      <c r="K18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8" s="88"/>
      <c r="M18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8" s="65"/>
      <c r="O188" s="75"/>
      <c r="P188" s="67"/>
      <c r="Q188" s="63"/>
      <c r="R188" s="68"/>
      <c r="S188" s="69"/>
    </row>
    <row r="189" spans="2:19" ht="24.75" customHeight="1" x14ac:dyDescent="0.15">
      <c r="B189" s="108"/>
      <c r="C189" s="105"/>
      <c r="D189" s="87"/>
      <c r="E189" s="60" t="str">
        <f>IFERROR(VLOOKUP(工单表[[#This Row],[责任人]],表3[[人员]:[岗位]],2,FALSE),"")</f>
        <v/>
      </c>
      <c r="F189" s="61"/>
      <c r="G189" s="105"/>
      <c r="H189" s="91"/>
      <c r="I189" s="105"/>
      <c r="J189" s="106"/>
      <c r="K18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89" s="88"/>
      <c r="M18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89" s="65"/>
      <c r="O189" s="75"/>
      <c r="P189" s="67"/>
      <c r="Q189" s="63"/>
      <c r="R189" s="68"/>
      <c r="S189" s="69"/>
    </row>
    <row r="190" spans="2:19" ht="24.75" customHeight="1" x14ac:dyDescent="0.15">
      <c r="B190" s="108"/>
      <c r="C190" s="105"/>
      <c r="D190" s="87"/>
      <c r="E190" s="60" t="str">
        <f>IFERROR(VLOOKUP(工单表[[#This Row],[责任人]],表3[[人员]:[岗位]],2,FALSE),"")</f>
        <v/>
      </c>
      <c r="F190" s="61"/>
      <c r="G190" s="105"/>
      <c r="H190" s="91"/>
      <c r="I190" s="105"/>
      <c r="J190" s="106"/>
      <c r="K19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0" s="88"/>
      <c r="M19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0" s="65"/>
      <c r="O190" s="75"/>
      <c r="P190" s="67"/>
      <c r="Q190" s="63"/>
      <c r="R190" s="68"/>
      <c r="S190" s="69"/>
    </row>
    <row r="191" spans="2:19" ht="24.75" customHeight="1" x14ac:dyDescent="0.15">
      <c r="B191" s="108"/>
      <c r="C191" s="105"/>
      <c r="D191" s="87"/>
      <c r="E191" s="60" t="str">
        <f>IFERROR(VLOOKUP(工单表[[#This Row],[责任人]],表3[[人员]:[岗位]],2,FALSE),"")</f>
        <v/>
      </c>
      <c r="F191" s="61"/>
      <c r="G191" s="105"/>
      <c r="H191" s="91"/>
      <c r="I191" s="105"/>
      <c r="J191" s="106"/>
      <c r="K19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1" s="88"/>
      <c r="M19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1" s="65"/>
      <c r="O191" s="75"/>
      <c r="P191" s="67"/>
      <c r="Q191" s="63"/>
      <c r="R191" s="68"/>
      <c r="S191" s="69"/>
    </row>
    <row r="192" spans="2:19" ht="24.75" customHeight="1" x14ac:dyDescent="0.15">
      <c r="B192" s="108"/>
      <c r="C192" s="105"/>
      <c r="D192" s="87"/>
      <c r="E192" s="60" t="str">
        <f>IFERROR(VLOOKUP(工单表[[#This Row],[责任人]],表3[[人员]:[岗位]],2,FALSE),"")</f>
        <v/>
      </c>
      <c r="F192" s="61"/>
      <c r="G192" s="105"/>
      <c r="H192" s="91"/>
      <c r="I192" s="105"/>
      <c r="J192" s="106"/>
      <c r="K19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2" s="88"/>
      <c r="M19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2" s="65"/>
      <c r="O192" s="75"/>
      <c r="P192" s="67"/>
      <c r="Q192" s="63"/>
      <c r="R192" s="68"/>
      <c r="S192" s="69"/>
    </row>
    <row r="193" spans="2:19" ht="24.75" customHeight="1" x14ac:dyDescent="0.15">
      <c r="B193" s="108"/>
      <c r="C193" s="105"/>
      <c r="D193" s="87"/>
      <c r="E193" s="60" t="str">
        <f>IFERROR(VLOOKUP(工单表[[#This Row],[责任人]],表3[[人员]:[岗位]],2,FALSE),"")</f>
        <v/>
      </c>
      <c r="F193" s="61"/>
      <c r="G193" s="105"/>
      <c r="H193" s="91"/>
      <c r="I193" s="105"/>
      <c r="J193" s="106"/>
      <c r="K19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3" s="88"/>
      <c r="M19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3" s="65"/>
      <c r="O193" s="75"/>
      <c r="P193" s="67"/>
      <c r="Q193" s="63"/>
      <c r="R193" s="68"/>
      <c r="S193" s="69"/>
    </row>
    <row r="194" spans="2:19" ht="24.75" customHeight="1" x14ac:dyDescent="0.15">
      <c r="B194" s="108"/>
      <c r="C194" s="105"/>
      <c r="D194" s="87"/>
      <c r="E194" s="60" t="str">
        <f>IFERROR(VLOOKUP(工单表[[#This Row],[责任人]],表3[[人员]:[岗位]],2,FALSE),"")</f>
        <v/>
      </c>
      <c r="F194" s="61"/>
      <c r="G194" s="105"/>
      <c r="H194" s="91"/>
      <c r="I194" s="105"/>
      <c r="J194" s="106"/>
      <c r="K19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4" s="88"/>
      <c r="M19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4" s="65"/>
      <c r="O194" s="75"/>
      <c r="P194" s="67"/>
      <c r="Q194" s="63"/>
      <c r="R194" s="68"/>
      <c r="S194" s="69"/>
    </row>
    <row r="195" spans="2:19" ht="24.75" customHeight="1" x14ac:dyDescent="0.15">
      <c r="B195" s="108"/>
      <c r="C195" s="105"/>
      <c r="D195" s="87"/>
      <c r="E195" s="60" t="str">
        <f>IFERROR(VLOOKUP(工单表[[#This Row],[责任人]],表3[[人员]:[岗位]],2,FALSE),"")</f>
        <v/>
      </c>
      <c r="F195" s="61"/>
      <c r="G195" s="105"/>
      <c r="H195" s="91"/>
      <c r="I195" s="105"/>
      <c r="J195" s="106"/>
      <c r="K19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5" s="88"/>
      <c r="M19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5" s="65"/>
      <c r="O195" s="75"/>
      <c r="P195" s="67"/>
      <c r="Q195" s="63"/>
      <c r="R195" s="68"/>
      <c r="S195" s="69"/>
    </row>
    <row r="196" spans="2:19" ht="24.75" customHeight="1" x14ac:dyDescent="0.15">
      <c r="B196" s="108"/>
      <c r="C196" s="105"/>
      <c r="D196" s="87"/>
      <c r="E196" s="60" t="str">
        <f>IFERROR(VLOOKUP(工单表[[#This Row],[责任人]],表3[[人员]:[岗位]],2,FALSE),"")</f>
        <v/>
      </c>
      <c r="F196" s="61"/>
      <c r="G196" s="105"/>
      <c r="H196" s="91"/>
      <c r="I196" s="105"/>
      <c r="J196" s="106"/>
      <c r="K19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6" s="88"/>
      <c r="M19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6" s="65"/>
      <c r="O196" s="75"/>
      <c r="P196" s="67"/>
      <c r="Q196" s="63"/>
      <c r="R196" s="68"/>
      <c r="S196" s="69"/>
    </row>
    <row r="197" spans="2:19" ht="24.75" customHeight="1" x14ac:dyDescent="0.15">
      <c r="B197" s="108"/>
      <c r="C197" s="105"/>
      <c r="D197" s="87"/>
      <c r="E197" s="60" t="str">
        <f>IFERROR(VLOOKUP(工单表[[#This Row],[责任人]],表3[[人员]:[岗位]],2,FALSE),"")</f>
        <v/>
      </c>
      <c r="F197" s="61"/>
      <c r="G197" s="105"/>
      <c r="H197" s="91"/>
      <c r="I197" s="105"/>
      <c r="J197" s="106"/>
      <c r="K19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7" s="88"/>
      <c r="M19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7" s="65"/>
      <c r="O197" s="75"/>
      <c r="P197" s="67"/>
      <c r="Q197" s="63"/>
      <c r="R197" s="68"/>
      <c r="S197" s="69"/>
    </row>
    <row r="198" spans="2:19" ht="24.75" customHeight="1" x14ac:dyDescent="0.15">
      <c r="B198" s="108"/>
      <c r="C198" s="105"/>
      <c r="D198" s="87"/>
      <c r="E198" s="60" t="str">
        <f>IFERROR(VLOOKUP(工单表[[#This Row],[责任人]],表3[[人员]:[岗位]],2,FALSE),"")</f>
        <v/>
      </c>
      <c r="F198" s="61"/>
      <c r="G198" s="105"/>
      <c r="H198" s="91"/>
      <c r="I198" s="105"/>
      <c r="J198" s="106"/>
      <c r="K19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8" s="88"/>
      <c r="M19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8" s="65"/>
      <c r="O198" s="75"/>
      <c r="P198" s="67"/>
      <c r="Q198" s="63"/>
      <c r="R198" s="68"/>
      <c r="S198" s="69"/>
    </row>
    <row r="199" spans="2:19" ht="24.75" customHeight="1" x14ac:dyDescent="0.15">
      <c r="B199" s="108"/>
      <c r="C199" s="105"/>
      <c r="D199" s="87"/>
      <c r="E199" s="60" t="str">
        <f>IFERROR(VLOOKUP(工单表[[#This Row],[责任人]],表3[[人员]:[岗位]],2,FALSE),"")</f>
        <v/>
      </c>
      <c r="F199" s="61"/>
      <c r="G199" s="105"/>
      <c r="H199" s="91"/>
      <c r="I199" s="105"/>
      <c r="J199" s="106"/>
      <c r="K19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199" s="88"/>
      <c r="M19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199" s="65"/>
      <c r="O199" s="75"/>
      <c r="P199" s="67"/>
      <c r="Q199" s="63"/>
      <c r="R199" s="68"/>
      <c r="S199" s="69"/>
    </row>
    <row r="200" spans="2:19" ht="24.75" customHeight="1" x14ac:dyDescent="0.15">
      <c r="B200" s="108"/>
      <c r="C200" s="105"/>
      <c r="D200" s="87"/>
      <c r="E200" s="60" t="str">
        <f>IFERROR(VLOOKUP(工单表[[#This Row],[责任人]],表3[[人员]:[岗位]],2,FALSE),"")</f>
        <v/>
      </c>
      <c r="F200" s="61"/>
      <c r="G200" s="105"/>
      <c r="H200" s="91"/>
      <c r="I200" s="105"/>
      <c r="J200" s="106"/>
      <c r="K20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0" s="88"/>
      <c r="M20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0" s="65"/>
      <c r="O200" s="75"/>
      <c r="P200" s="67"/>
      <c r="Q200" s="63"/>
      <c r="R200" s="68"/>
      <c r="S200" s="69"/>
    </row>
    <row r="201" spans="2:19" ht="24.75" customHeight="1" x14ac:dyDescent="0.15">
      <c r="B201" s="108"/>
      <c r="C201" s="105"/>
      <c r="D201" s="87"/>
      <c r="E201" s="60" t="str">
        <f>IFERROR(VLOOKUP(工单表[[#This Row],[责任人]],表3[[人员]:[岗位]],2,FALSE),"")</f>
        <v/>
      </c>
      <c r="F201" s="61"/>
      <c r="G201" s="105"/>
      <c r="H201" s="91"/>
      <c r="I201" s="105"/>
      <c r="J201" s="106"/>
      <c r="K20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1" s="88"/>
      <c r="M20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1" s="65"/>
      <c r="O201" s="75"/>
      <c r="P201" s="67"/>
      <c r="Q201" s="63"/>
      <c r="R201" s="68"/>
      <c r="S201" s="69"/>
    </row>
    <row r="202" spans="2:19" ht="24.75" customHeight="1" x14ac:dyDescent="0.15">
      <c r="B202" s="108"/>
      <c r="C202" s="105"/>
      <c r="D202" s="87"/>
      <c r="E202" s="60" t="str">
        <f>IFERROR(VLOOKUP(工单表[[#This Row],[责任人]],表3[[人员]:[岗位]],2,FALSE),"")</f>
        <v/>
      </c>
      <c r="F202" s="61"/>
      <c r="G202" s="105"/>
      <c r="H202" s="91"/>
      <c r="I202" s="105"/>
      <c r="J202" s="106"/>
      <c r="K20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2" s="88"/>
      <c r="M20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2" s="65"/>
      <c r="O202" s="75"/>
      <c r="P202" s="67"/>
      <c r="Q202" s="63"/>
      <c r="R202" s="68"/>
      <c r="S202" s="69"/>
    </row>
    <row r="203" spans="2:19" ht="24.75" customHeight="1" x14ac:dyDescent="0.15">
      <c r="B203" s="108"/>
      <c r="C203" s="105"/>
      <c r="D203" s="87"/>
      <c r="E203" s="60" t="str">
        <f>IFERROR(VLOOKUP(工单表[[#This Row],[责任人]],表3[[人员]:[岗位]],2,FALSE),"")</f>
        <v/>
      </c>
      <c r="F203" s="61"/>
      <c r="G203" s="105"/>
      <c r="H203" s="91"/>
      <c r="I203" s="105"/>
      <c r="J203" s="106"/>
      <c r="K20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3" s="88"/>
      <c r="M20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3" s="65"/>
      <c r="O203" s="75"/>
      <c r="P203" s="67"/>
      <c r="Q203" s="63"/>
      <c r="R203" s="68"/>
      <c r="S203" s="69"/>
    </row>
    <row r="204" spans="2:19" ht="24.75" customHeight="1" x14ac:dyDescent="0.15">
      <c r="B204" s="108"/>
      <c r="C204" s="105"/>
      <c r="D204" s="87"/>
      <c r="E204" s="60" t="str">
        <f>IFERROR(VLOOKUP(工单表[[#This Row],[责任人]],表3[[人员]:[岗位]],2,FALSE),"")</f>
        <v/>
      </c>
      <c r="F204" s="61"/>
      <c r="G204" s="105"/>
      <c r="H204" s="91"/>
      <c r="I204" s="105"/>
      <c r="J204" s="106"/>
      <c r="K20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4" s="88"/>
      <c r="M20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4" s="65"/>
      <c r="O204" s="75"/>
      <c r="P204" s="67"/>
      <c r="Q204" s="63"/>
      <c r="R204" s="68"/>
      <c r="S204" s="69"/>
    </row>
    <row r="205" spans="2:19" ht="24.75" customHeight="1" x14ac:dyDescent="0.15">
      <c r="B205" s="108"/>
      <c r="C205" s="105"/>
      <c r="D205" s="87"/>
      <c r="E205" s="60" t="str">
        <f>IFERROR(VLOOKUP(工单表[[#This Row],[责任人]],表3[[人员]:[岗位]],2,FALSE),"")</f>
        <v/>
      </c>
      <c r="F205" s="61"/>
      <c r="G205" s="105"/>
      <c r="H205" s="91"/>
      <c r="I205" s="105"/>
      <c r="J205" s="106"/>
      <c r="K20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5" s="88"/>
      <c r="M20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5" s="65"/>
      <c r="O205" s="75"/>
      <c r="P205" s="67"/>
      <c r="Q205" s="63"/>
      <c r="R205" s="68"/>
      <c r="S205" s="69"/>
    </row>
    <row r="206" spans="2:19" ht="24.75" customHeight="1" x14ac:dyDescent="0.15">
      <c r="B206" s="108"/>
      <c r="C206" s="105"/>
      <c r="D206" s="87"/>
      <c r="E206" s="60" t="str">
        <f>IFERROR(VLOOKUP(工单表[[#This Row],[责任人]],表3[[人员]:[岗位]],2,FALSE),"")</f>
        <v/>
      </c>
      <c r="F206" s="61"/>
      <c r="G206" s="105"/>
      <c r="H206" s="91"/>
      <c r="I206" s="105"/>
      <c r="J206" s="106"/>
      <c r="K20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6" s="88"/>
      <c r="M20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6" s="65"/>
      <c r="O206" s="75"/>
      <c r="P206" s="67"/>
      <c r="Q206" s="63"/>
      <c r="R206" s="68"/>
      <c r="S206" s="69"/>
    </row>
    <row r="207" spans="2:19" ht="24.75" customHeight="1" x14ac:dyDescent="0.15">
      <c r="B207" s="108"/>
      <c r="C207" s="105"/>
      <c r="D207" s="87"/>
      <c r="E207" s="60" t="str">
        <f>IFERROR(VLOOKUP(工单表[[#This Row],[责任人]],表3[[人员]:[岗位]],2,FALSE),"")</f>
        <v/>
      </c>
      <c r="F207" s="61"/>
      <c r="G207" s="105"/>
      <c r="H207" s="91"/>
      <c r="I207" s="105"/>
      <c r="J207" s="106"/>
      <c r="K20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7" s="88"/>
      <c r="M20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7" s="65"/>
      <c r="O207" s="75"/>
      <c r="P207" s="67"/>
      <c r="Q207" s="63"/>
      <c r="R207" s="68"/>
      <c r="S207" s="69"/>
    </row>
    <row r="208" spans="2:19" ht="24.75" customHeight="1" x14ac:dyDescent="0.15">
      <c r="B208" s="108"/>
      <c r="C208" s="105"/>
      <c r="D208" s="87"/>
      <c r="E208" s="60" t="str">
        <f>IFERROR(VLOOKUP(工单表[[#This Row],[责任人]],表3[[人员]:[岗位]],2,FALSE),"")</f>
        <v/>
      </c>
      <c r="F208" s="61"/>
      <c r="G208" s="105"/>
      <c r="H208" s="91"/>
      <c r="I208" s="105"/>
      <c r="J208" s="106"/>
      <c r="K20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8" s="88"/>
      <c r="M20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8" s="65"/>
      <c r="O208" s="75"/>
      <c r="P208" s="67"/>
      <c r="Q208" s="63"/>
      <c r="R208" s="68"/>
      <c r="S208" s="69"/>
    </row>
    <row r="209" spans="2:19" ht="24.75" customHeight="1" x14ac:dyDescent="0.15">
      <c r="B209" s="108"/>
      <c r="C209" s="105"/>
      <c r="D209" s="87"/>
      <c r="E209" s="60" t="str">
        <f>IFERROR(VLOOKUP(工单表[[#This Row],[责任人]],表3[[人员]:[岗位]],2,FALSE),"")</f>
        <v/>
      </c>
      <c r="F209" s="61"/>
      <c r="G209" s="105"/>
      <c r="H209" s="91"/>
      <c r="I209" s="105"/>
      <c r="J209" s="106"/>
      <c r="K20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09" s="88"/>
      <c r="M20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09" s="65"/>
      <c r="O209" s="75"/>
      <c r="P209" s="67"/>
      <c r="Q209" s="63"/>
      <c r="R209" s="68"/>
      <c r="S209" s="69"/>
    </row>
    <row r="210" spans="2:19" ht="24.75" customHeight="1" x14ac:dyDescent="0.15">
      <c r="B210" s="108"/>
      <c r="C210" s="105"/>
      <c r="D210" s="87"/>
      <c r="E210" s="60" t="str">
        <f>IFERROR(VLOOKUP(工单表[[#This Row],[责任人]],表3[[人员]:[岗位]],2,FALSE),"")</f>
        <v/>
      </c>
      <c r="F210" s="61"/>
      <c r="G210" s="105"/>
      <c r="H210" s="91"/>
      <c r="I210" s="105"/>
      <c r="J210" s="106"/>
      <c r="K21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0" s="88"/>
      <c r="M21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0" s="65"/>
      <c r="O210" s="75"/>
      <c r="P210" s="67"/>
      <c r="Q210" s="63"/>
      <c r="R210" s="68"/>
      <c r="S210" s="69"/>
    </row>
    <row r="211" spans="2:19" ht="24.75" customHeight="1" x14ac:dyDescent="0.15">
      <c r="B211" s="108"/>
      <c r="C211" s="105"/>
      <c r="D211" s="87"/>
      <c r="E211" s="60" t="str">
        <f>IFERROR(VLOOKUP(工单表[[#This Row],[责任人]],表3[[人员]:[岗位]],2,FALSE),"")</f>
        <v/>
      </c>
      <c r="F211" s="61"/>
      <c r="G211" s="105"/>
      <c r="H211" s="91"/>
      <c r="I211" s="105"/>
      <c r="J211" s="106"/>
      <c r="K21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1" s="88"/>
      <c r="M21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1" s="65"/>
      <c r="O211" s="75"/>
      <c r="P211" s="67"/>
      <c r="Q211" s="63"/>
      <c r="R211" s="68"/>
      <c r="S211" s="69"/>
    </row>
    <row r="212" spans="2:19" ht="24.75" customHeight="1" x14ac:dyDescent="0.15">
      <c r="B212" s="108"/>
      <c r="C212" s="105"/>
      <c r="D212" s="87"/>
      <c r="E212" s="60" t="str">
        <f>IFERROR(VLOOKUP(工单表[[#This Row],[责任人]],表3[[人员]:[岗位]],2,FALSE),"")</f>
        <v/>
      </c>
      <c r="F212" s="61"/>
      <c r="G212" s="105"/>
      <c r="H212" s="91"/>
      <c r="I212" s="105"/>
      <c r="J212" s="106"/>
      <c r="K21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2" s="88"/>
      <c r="M21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2" s="65"/>
      <c r="O212" s="75"/>
      <c r="P212" s="67"/>
      <c r="Q212" s="63"/>
      <c r="R212" s="68"/>
      <c r="S212" s="69"/>
    </row>
    <row r="213" spans="2:19" ht="24.75" customHeight="1" x14ac:dyDescent="0.15">
      <c r="B213" s="108"/>
      <c r="C213" s="105"/>
      <c r="D213" s="87"/>
      <c r="E213" s="60" t="str">
        <f>IFERROR(VLOOKUP(工单表[[#This Row],[责任人]],表3[[人员]:[岗位]],2,FALSE),"")</f>
        <v/>
      </c>
      <c r="F213" s="61"/>
      <c r="G213" s="105"/>
      <c r="H213" s="91"/>
      <c r="I213" s="105"/>
      <c r="J213" s="106"/>
      <c r="K21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3" s="88"/>
      <c r="M21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3" s="65"/>
      <c r="O213" s="75"/>
      <c r="P213" s="67"/>
      <c r="Q213" s="63"/>
      <c r="R213" s="68"/>
      <c r="S213" s="69"/>
    </row>
    <row r="214" spans="2:19" ht="24.75" customHeight="1" x14ac:dyDescent="0.15">
      <c r="B214" s="108"/>
      <c r="C214" s="105"/>
      <c r="D214" s="87"/>
      <c r="E214" s="60" t="str">
        <f>IFERROR(VLOOKUP(工单表[[#This Row],[责任人]],表3[[人员]:[岗位]],2,FALSE),"")</f>
        <v/>
      </c>
      <c r="F214" s="61"/>
      <c r="G214" s="105"/>
      <c r="H214" s="91"/>
      <c r="I214" s="105"/>
      <c r="J214" s="106"/>
      <c r="K21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4" s="88"/>
      <c r="M21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4" s="65"/>
      <c r="O214" s="75"/>
      <c r="P214" s="67"/>
      <c r="Q214" s="63"/>
      <c r="R214" s="68"/>
      <c r="S214" s="69"/>
    </row>
    <row r="215" spans="2:19" ht="24.75" customHeight="1" x14ac:dyDescent="0.15">
      <c r="B215" s="108"/>
      <c r="C215" s="105"/>
      <c r="D215" s="87"/>
      <c r="E215" s="60" t="str">
        <f>IFERROR(VLOOKUP(工单表[[#This Row],[责任人]],表3[[人员]:[岗位]],2,FALSE),"")</f>
        <v/>
      </c>
      <c r="F215" s="61"/>
      <c r="G215" s="105"/>
      <c r="H215" s="91"/>
      <c r="I215" s="105"/>
      <c r="J215" s="106"/>
      <c r="K21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5" s="88"/>
      <c r="M21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5" s="65"/>
      <c r="O215" s="75"/>
      <c r="P215" s="67"/>
      <c r="Q215" s="63"/>
      <c r="R215" s="68"/>
      <c r="S215" s="69"/>
    </row>
    <row r="216" spans="2:19" ht="24.75" customHeight="1" x14ac:dyDescent="0.15">
      <c r="B216" s="108"/>
      <c r="C216" s="105"/>
      <c r="D216" s="87"/>
      <c r="E216" s="60" t="str">
        <f>IFERROR(VLOOKUP(工单表[[#This Row],[责任人]],表3[[人员]:[岗位]],2,FALSE),"")</f>
        <v/>
      </c>
      <c r="F216" s="61"/>
      <c r="G216" s="105"/>
      <c r="H216" s="91"/>
      <c r="I216" s="105"/>
      <c r="J216" s="106"/>
      <c r="K216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6" s="88"/>
      <c r="M216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6" s="65"/>
      <c r="O216" s="75"/>
      <c r="P216" s="67"/>
      <c r="Q216" s="63"/>
      <c r="R216" s="68"/>
      <c r="S216" s="69"/>
    </row>
    <row r="217" spans="2:19" ht="24.75" customHeight="1" x14ac:dyDescent="0.15">
      <c r="B217" s="108"/>
      <c r="C217" s="105"/>
      <c r="D217" s="87"/>
      <c r="E217" s="60" t="str">
        <f>IFERROR(VLOOKUP(工单表[[#This Row],[责任人]],表3[[人员]:[岗位]],2,FALSE),"")</f>
        <v/>
      </c>
      <c r="F217" s="61"/>
      <c r="G217" s="105"/>
      <c r="H217" s="91"/>
      <c r="I217" s="105"/>
      <c r="J217" s="106"/>
      <c r="K217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7" s="88"/>
      <c r="M217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7" s="65"/>
      <c r="O217" s="75"/>
      <c r="P217" s="67"/>
      <c r="Q217" s="63"/>
      <c r="R217" s="68"/>
      <c r="S217" s="69"/>
    </row>
    <row r="218" spans="2:19" ht="24.75" customHeight="1" x14ac:dyDescent="0.15">
      <c r="B218" s="108"/>
      <c r="C218" s="105"/>
      <c r="D218" s="87"/>
      <c r="E218" s="60" t="str">
        <f>IFERROR(VLOOKUP(工单表[[#This Row],[责任人]],表3[[人员]:[岗位]],2,FALSE),"")</f>
        <v/>
      </c>
      <c r="F218" s="61"/>
      <c r="G218" s="105"/>
      <c r="H218" s="91"/>
      <c r="I218" s="105"/>
      <c r="J218" s="106"/>
      <c r="K218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8" s="88"/>
      <c r="M218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8" s="65"/>
      <c r="O218" s="75"/>
      <c r="P218" s="67"/>
      <c r="Q218" s="63"/>
      <c r="R218" s="68"/>
      <c r="S218" s="69"/>
    </row>
    <row r="219" spans="2:19" ht="24.75" customHeight="1" x14ac:dyDescent="0.15">
      <c r="B219" s="108"/>
      <c r="C219" s="105"/>
      <c r="D219" s="87"/>
      <c r="E219" s="60" t="str">
        <f>IFERROR(VLOOKUP(工单表[[#This Row],[责任人]],表3[[人员]:[岗位]],2,FALSE),"")</f>
        <v/>
      </c>
      <c r="F219" s="61"/>
      <c r="G219" s="105"/>
      <c r="H219" s="91"/>
      <c r="I219" s="105"/>
      <c r="J219" s="106"/>
      <c r="K219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19" s="88"/>
      <c r="M219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19" s="65"/>
      <c r="O219" s="75"/>
      <c r="P219" s="67"/>
      <c r="Q219" s="63"/>
      <c r="R219" s="68"/>
      <c r="S219" s="69"/>
    </row>
    <row r="220" spans="2:19" ht="24.75" customHeight="1" x14ac:dyDescent="0.15">
      <c r="B220" s="108"/>
      <c r="C220" s="105"/>
      <c r="D220" s="87"/>
      <c r="E220" s="60" t="str">
        <f>IFERROR(VLOOKUP(工单表[[#This Row],[责任人]],表3[[人员]:[岗位]],2,FALSE),"")</f>
        <v/>
      </c>
      <c r="F220" s="61"/>
      <c r="G220" s="105"/>
      <c r="H220" s="91"/>
      <c r="I220" s="105"/>
      <c r="J220" s="106"/>
      <c r="K220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20" s="88"/>
      <c r="M220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0" s="65"/>
      <c r="O220" s="75"/>
      <c r="P220" s="67"/>
      <c r="Q220" s="63"/>
      <c r="R220" s="68"/>
      <c r="S220" s="69"/>
    </row>
    <row r="221" spans="2:19" ht="24.75" customHeight="1" x14ac:dyDescent="0.15">
      <c r="B221" s="108"/>
      <c r="C221" s="105"/>
      <c r="D221" s="87"/>
      <c r="E221" s="60" t="str">
        <f>IFERROR(VLOOKUP(工单表[[#This Row],[责任人]],表3[[人员]:[岗位]],2,FALSE),"")</f>
        <v/>
      </c>
      <c r="F221" s="61"/>
      <c r="G221" s="105"/>
      <c r="H221" s="91"/>
      <c r="I221" s="105"/>
      <c r="J221" s="106"/>
      <c r="K221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21" s="88"/>
      <c r="M221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1" s="65"/>
      <c r="O221" s="75"/>
      <c r="P221" s="67"/>
      <c r="Q221" s="63"/>
      <c r="R221" s="68"/>
      <c r="S221" s="69"/>
    </row>
    <row r="222" spans="2:19" ht="24.75" customHeight="1" x14ac:dyDescent="0.15">
      <c r="B222" s="108"/>
      <c r="C222" s="105"/>
      <c r="D222" s="87"/>
      <c r="E222" s="60" t="str">
        <f>IFERROR(VLOOKUP(工单表[[#This Row],[责任人]],表3[[人员]:[岗位]],2,FALSE),"")</f>
        <v/>
      </c>
      <c r="F222" s="61"/>
      <c r="G222" s="105"/>
      <c r="H222" s="91"/>
      <c r="I222" s="105"/>
      <c r="J222" s="106"/>
      <c r="K222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22" s="88"/>
      <c r="M222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2" s="65"/>
      <c r="O222" s="75"/>
      <c r="P222" s="67"/>
      <c r="Q222" s="63"/>
      <c r="R222" s="68"/>
      <c r="S222" s="69"/>
    </row>
    <row r="223" spans="2:19" ht="24.75" customHeight="1" x14ac:dyDescent="0.15">
      <c r="B223" s="108"/>
      <c r="C223" s="105"/>
      <c r="D223" s="87"/>
      <c r="E223" s="60" t="str">
        <f>IFERROR(VLOOKUP(工单表[[#This Row],[责任人]],表3[[人员]:[岗位]],2,FALSE),"")</f>
        <v/>
      </c>
      <c r="F223" s="61"/>
      <c r="G223" s="105"/>
      <c r="H223" s="91"/>
      <c r="I223" s="105"/>
      <c r="J223" s="106"/>
      <c r="K223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23" s="88"/>
      <c r="M223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3" s="65"/>
      <c r="O223" s="75"/>
      <c r="P223" s="67"/>
      <c r="Q223" s="63"/>
      <c r="R223" s="68"/>
      <c r="S223" s="69"/>
    </row>
    <row r="224" spans="2:19" ht="24.75" customHeight="1" x14ac:dyDescent="0.15">
      <c r="B224" s="108"/>
      <c r="C224" s="105"/>
      <c r="D224" s="87"/>
      <c r="E224" s="60" t="str">
        <f>IFERROR(VLOOKUP(工单表[[#This Row],[责任人]],表3[[人员]:[岗位]],2,FALSE),"")</f>
        <v/>
      </c>
      <c r="F224" s="61"/>
      <c r="G224" s="105"/>
      <c r="H224" s="91"/>
      <c r="I224" s="105"/>
      <c r="J224" s="106"/>
      <c r="K224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24" s="88"/>
      <c r="M224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4" s="65"/>
      <c r="O224" s="75"/>
      <c r="P224" s="67"/>
      <c r="Q224" s="63"/>
      <c r="R224" s="68"/>
      <c r="S224" s="69"/>
    </row>
    <row r="225" spans="2:19" ht="24.75" customHeight="1" x14ac:dyDescent="0.15">
      <c r="B225" s="108"/>
      <c r="C225" s="105"/>
      <c r="D225" s="87"/>
      <c r="E225" s="60" t="str">
        <f>IFERROR(VLOOKUP(工单表[[#This Row],[责任人]],表3[[人员]:[岗位]],2,FALSE),"")</f>
        <v/>
      </c>
      <c r="F225" s="61"/>
      <c r="G225" s="105"/>
      <c r="H225" s="91"/>
      <c r="I225" s="105"/>
      <c r="J225" s="106"/>
      <c r="K225" s="62" t="str">
        <f>IF(工单表[[#This Row],[验收备注]]="已关闭",1,IFERROR(工单表[[#This Row],[耗时]]/IF(工单表[[#This Row],[新估时]]&gt;0,工单表[[#This Row],[新估时]],工单表[[#This Row],[原估时]]),""))</f>
        <v/>
      </c>
      <c r="L225" s="88"/>
      <c r="M225" s="64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5" s="65"/>
      <c r="O225" s="75"/>
      <c r="P225" s="67"/>
      <c r="Q225" s="63"/>
      <c r="R225" s="68"/>
      <c r="S225" s="69"/>
    </row>
    <row r="226" spans="2:19" ht="24.75" customHeight="1" x14ac:dyDescent="0.15">
      <c r="B226" s="107"/>
      <c r="C226" s="85"/>
      <c r="D226" s="86"/>
      <c r="E226" s="76" t="str">
        <f>IFERROR(VLOOKUP(工单表[[#This Row],[责任人]],表3[[人员]:[岗位]],2,FALSE),"")</f>
        <v/>
      </c>
      <c r="F226" s="71"/>
      <c r="G226" s="85"/>
      <c r="H226" s="103"/>
      <c r="I226" s="85"/>
      <c r="J226" s="104"/>
      <c r="K226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26" s="85"/>
      <c r="M226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6" s="72"/>
      <c r="O226" s="73"/>
      <c r="P226" s="74"/>
      <c r="Q226" s="70"/>
      <c r="R226" s="79"/>
      <c r="S226" s="69"/>
    </row>
    <row r="227" spans="2:19" ht="24.75" customHeight="1" x14ac:dyDescent="0.15">
      <c r="B227" s="107"/>
      <c r="C227" s="85"/>
      <c r="D227" s="86"/>
      <c r="E227" s="76" t="str">
        <f>IFERROR(VLOOKUP(工单表[[#This Row],[责任人]],表3[[人员]:[岗位]],2,FALSE),"")</f>
        <v/>
      </c>
      <c r="F227" s="71"/>
      <c r="G227" s="85"/>
      <c r="H227" s="103"/>
      <c r="I227" s="85"/>
      <c r="J227" s="104"/>
      <c r="K227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27" s="85"/>
      <c r="M227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7" s="72"/>
      <c r="O227" s="73"/>
      <c r="P227" s="74"/>
      <c r="Q227" s="70"/>
      <c r="R227" s="79"/>
      <c r="S227" s="69"/>
    </row>
    <row r="228" spans="2:19" ht="24.75" customHeight="1" x14ac:dyDescent="0.15">
      <c r="B228" s="107"/>
      <c r="C228" s="85"/>
      <c r="D228" s="86"/>
      <c r="E228" s="76" t="str">
        <f>IFERROR(VLOOKUP(工单表[[#This Row],[责任人]],表3[[人员]:[岗位]],2,FALSE),"")</f>
        <v/>
      </c>
      <c r="F228" s="71"/>
      <c r="G228" s="85"/>
      <c r="H228" s="103"/>
      <c r="I228" s="85"/>
      <c r="J228" s="104"/>
      <c r="K228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28" s="85"/>
      <c r="M228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8" s="72"/>
      <c r="O228" s="73"/>
      <c r="P228" s="74"/>
      <c r="Q228" s="70"/>
      <c r="R228" s="79"/>
      <c r="S228" s="69"/>
    </row>
    <row r="229" spans="2:19" ht="24.75" customHeight="1" x14ac:dyDescent="0.15">
      <c r="B229" s="107"/>
      <c r="C229" s="85"/>
      <c r="D229" s="86"/>
      <c r="E229" s="76" t="str">
        <f>IFERROR(VLOOKUP(工单表[[#This Row],[责任人]],表3[[人员]:[岗位]],2,FALSE),"")</f>
        <v/>
      </c>
      <c r="F229" s="71"/>
      <c r="G229" s="85"/>
      <c r="H229" s="103"/>
      <c r="I229" s="85"/>
      <c r="J229" s="104"/>
      <c r="K229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29" s="85"/>
      <c r="M229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29" s="72"/>
      <c r="O229" s="73"/>
      <c r="P229" s="74"/>
      <c r="Q229" s="70"/>
      <c r="R229" s="79"/>
      <c r="S229" s="69"/>
    </row>
    <row r="230" spans="2:19" ht="24.75" customHeight="1" x14ac:dyDescent="0.15">
      <c r="B230" s="107"/>
      <c r="C230" s="85"/>
      <c r="D230" s="86"/>
      <c r="E230" s="76" t="str">
        <f>IFERROR(VLOOKUP(工单表[[#This Row],[责任人]],表3[[人员]:[岗位]],2,FALSE),"")</f>
        <v/>
      </c>
      <c r="F230" s="71"/>
      <c r="G230" s="85"/>
      <c r="H230" s="103"/>
      <c r="I230" s="85"/>
      <c r="J230" s="104"/>
      <c r="K230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0" s="85"/>
      <c r="M230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0" s="72"/>
      <c r="O230" s="73"/>
      <c r="P230" s="74"/>
      <c r="Q230" s="70"/>
      <c r="R230" s="79"/>
      <c r="S230" s="69"/>
    </row>
    <row r="231" spans="2:19" ht="24.75" customHeight="1" x14ac:dyDescent="0.15">
      <c r="B231" s="107"/>
      <c r="C231" s="85"/>
      <c r="D231" s="86"/>
      <c r="E231" s="76" t="str">
        <f>IFERROR(VLOOKUP(工单表[[#This Row],[责任人]],表3[[人员]:[岗位]],2,FALSE),"")</f>
        <v/>
      </c>
      <c r="F231" s="71"/>
      <c r="G231" s="85"/>
      <c r="H231" s="103"/>
      <c r="I231" s="85"/>
      <c r="J231" s="104"/>
      <c r="K231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1" s="85"/>
      <c r="M231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1" s="72"/>
      <c r="O231" s="73"/>
      <c r="P231" s="74"/>
      <c r="Q231" s="70"/>
      <c r="R231" s="79"/>
      <c r="S231" s="69"/>
    </row>
    <row r="232" spans="2:19" ht="24.75" customHeight="1" x14ac:dyDescent="0.15">
      <c r="B232" s="107"/>
      <c r="C232" s="85"/>
      <c r="D232" s="86"/>
      <c r="E232" s="76" t="str">
        <f>IFERROR(VLOOKUP(工单表[[#This Row],[责任人]],表3[[人员]:[岗位]],2,FALSE),"")</f>
        <v/>
      </c>
      <c r="F232" s="71"/>
      <c r="G232" s="85"/>
      <c r="H232" s="103"/>
      <c r="I232" s="85"/>
      <c r="J232" s="104"/>
      <c r="K232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2" s="85"/>
      <c r="M232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2" s="72"/>
      <c r="O232" s="73"/>
      <c r="P232" s="74"/>
      <c r="Q232" s="70"/>
      <c r="R232" s="79"/>
      <c r="S232" s="69"/>
    </row>
    <row r="233" spans="2:19" ht="24.75" customHeight="1" x14ac:dyDescent="0.15">
      <c r="B233" s="107"/>
      <c r="C233" s="85"/>
      <c r="D233" s="86"/>
      <c r="E233" s="76" t="str">
        <f>IFERROR(VLOOKUP(工单表[[#This Row],[责任人]],表3[[人员]:[岗位]],2,FALSE),"")</f>
        <v/>
      </c>
      <c r="F233" s="71"/>
      <c r="G233" s="85"/>
      <c r="H233" s="103"/>
      <c r="I233" s="85"/>
      <c r="J233" s="104"/>
      <c r="K233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3" s="85"/>
      <c r="M233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3" s="72"/>
      <c r="O233" s="73"/>
      <c r="P233" s="74"/>
      <c r="Q233" s="70"/>
      <c r="R233" s="79"/>
      <c r="S233" s="69"/>
    </row>
    <row r="234" spans="2:19" ht="24.75" customHeight="1" x14ac:dyDescent="0.15">
      <c r="B234" s="107"/>
      <c r="C234" s="85"/>
      <c r="D234" s="86"/>
      <c r="E234" s="76" t="str">
        <f>IFERROR(VLOOKUP(工单表[[#This Row],[责任人]],表3[[人员]:[岗位]],2,FALSE),"")</f>
        <v/>
      </c>
      <c r="F234" s="71"/>
      <c r="G234" s="85"/>
      <c r="H234" s="103"/>
      <c r="I234" s="85"/>
      <c r="J234" s="104"/>
      <c r="K234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4" s="85"/>
      <c r="M234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4" s="72"/>
      <c r="O234" s="73"/>
      <c r="P234" s="74"/>
      <c r="Q234" s="70"/>
      <c r="R234" s="79"/>
      <c r="S234" s="69"/>
    </row>
    <row r="235" spans="2:19" ht="24.75" customHeight="1" x14ac:dyDescent="0.15">
      <c r="B235" s="107"/>
      <c r="C235" s="85"/>
      <c r="D235" s="86"/>
      <c r="E235" s="76" t="str">
        <f>IFERROR(VLOOKUP(工单表[[#This Row],[责任人]],表3[[人员]:[岗位]],2,FALSE),"")</f>
        <v/>
      </c>
      <c r="F235" s="71"/>
      <c r="G235" s="85"/>
      <c r="H235" s="103"/>
      <c r="I235" s="85"/>
      <c r="J235" s="104"/>
      <c r="K235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5" s="85"/>
      <c r="M235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5" s="72"/>
      <c r="O235" s="73"/>
      <c r="P235" s="74"/>
      <c r="Q235" s="70"/>
      <c r="R235" s="79"/>
      <c r="S235" s="69"/>
    </row>
    <row r="236" spans="2:19" ht="24.75" customHeight="1" x14ac:dyDescent="0.15">
      <c r="B236" s="107"/>
      <c r="C236" s="85"/>
      <c r="D236" s="86"/>
      <c r="E236" s="76" t="str">
        <f>IFERROR(VLOOKUP(工单表[[#This Row],[责任人]],表3[[人员]:[岗位]],2,FALSE),"")</f>
        <v/>
      </c>
      <c r="F236" s="71"/>
      <c r="G236" s="85"/>
      <c r="H236" s="103"/>
      <c r="I236" s="85"/>
      <c r="J236" s="104"/>
      <c r="K236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6" s="85"/>
      <c r="M236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6" s="72"/>
      <c r="O236" s="73"/>
      <c r="P236" s="74"/>
      <c r="Q236" s="70"/>
      <c r="R236" s="79"/>
      <c r="S236" s="69"/>
    </row>
    <row r="237" spans="2:19" ht="24.75" customHeight="1" x14ac:dyDescent="0.15">
      <c r="B237" s="107"/>
      <c r="C237" s="85"/>
      <c r="D237" s="86"/>
      <c r="E237" s="76" t="str">
        <f>IFERROR(VLOOKUP(工单表[[#This Row],[责任人]],表3[[人员]:[岗位]],2,FALSE),"")</f>
        <v/>
      </c>
      <c r="F237" s="71"/>
      <c r="G237" s="85"/>
      <c r="H237" s="103"/>
      <c r="I237" s="85"/>
      <c r="J237" s="104"/>
      <c r="K237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7" s="85"/>
      <c r="M237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7" s="72"/>
      <c r="O237" s="73"/>
      <c r="P237" s="74"/>
      <c r="Q237" s="70"/>
      <c r="R237" s="79"/>
      <c r="S237" s="69"/>
    </row>
    <row r="238" spans="2:19" ht="24.75" customHeight="1" x14ac:dyDescent="0.15">
      <c r="B238" s="107"/>
      <c r="C238" s="85"/>
      <c r="D238" s="86"/>
      <c r="E238" s="76" t="str">
        <f>IFERROR(VLOOKUP(工单表[[#This Row],[责任人]],表3[[人员]:[岗位]],2,FALSE),"")</f>
        <v/>
      </c>
      <c r="F238" s="71"/>
      <c r="G238" s="85"/>
      <c r="H238" s="103"/>
      <c r="I238" s="85"/>
      <c r="J238" s="104"/>
      <c r="K238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8" s="85"/>
      <c r="M238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8" s="72"/>
      <c r="O238" s="73"/>
      <c r="P238" s="74"/>
      <c r="Q238" s="70"/>
      <c r="R238" s="79"/>
      <c r="S238" s="69"/>
    </row>
    <row r="239" spans="2:19" ht="24.75" customHeight="1" x14ac:dyDescent="0.15">
      <c r="B239" s="107"/>
      <c r="C239" s="85"/>
      <c r="D239" s="86"/>
      <c r="E239" s="76" t="str">
        <f>IFERROR(VLOOKUP(工单表[[#This Row],[责任人]],表3[[人员]:[岗位]],2,FALSE),"")</f>
        <v/>
      </c>
      <c r="F239" s="71"/>
      <c r="G239" s="85"/>
      <c r="H239" s="103"/>
      <c r="I239" s="85"/>
      <c r="J239" s="104"/>
      <c r="K239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39" s="85"/>
      <c r="M239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39" s="72"/>
      <c r="O239" s="73"/>
      <c r="P239" s="74"/>
      <c r="Q239" s="70"/>
      <c r="R239" s="79"/>
      <c r="S239" s="69"/>
    </row>
    <row r="240" spans="2:19" ht="24.75" customHeight="1" x14ac:dyDescent="0.15">
      <c r="B240" s="107"/>
      <c r="C240" s="85"/>
      <c r="D240" s="86"/>
      <c r="E240" s="76" t="str">
        <f>IFERROR(VLOOKUP(工单表[[#This Row],[责任人]],表3[[人员]:[岗位]],2,FALSE),"")</f>
        <v/>
      </c>
      <c r="F240" s="71"/>
      <c r="G240" s="85"/>
      <c r="H240" s="103"/>
      <c r="I240" s="85"/>
      <c r="J240" s="104"/>
      <c r="K240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0" s="85"/>
      <c r="M240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0" s="72"/>
      <c r="O240" s="73"/>
      <c r="P240" s="74"/>
      <c r="Q240" s="70"/>
      <c r="R240" s="79"/>
      <c r="S240" s="69"/>
    </row>
    <row r="241" spans="2:19" ht="24.75" customHeight="1" x14ac:dyDescent="0.15">
      <c r="B241" s="107"/>
      <c r="C241" s="85"/>
      <c r="D241" s="86"/>
      <c r="E241" s="76" t="str">
        <f>IFERROR(VLOOKUP(工单表[[#This Row],[责任人]],表3[[人员]:[岗位]],2,FALSE),"")</f>
        <v/>
      </c>
      <c r="F241" s="71"/>
      <c r="G241" s="85"/>
      <c r="H241" s="103"/>
      <c r="I241" s="85"/>
      <c r="J241" s="104"/>
      <c r="K241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1" s="85"/>
      <c r="M241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1" s="72"/>
      <c r="O241" s="73"/>
      <c r="P241" s="74"/>
      <c r="Q241" s="70"/>
      <c r="R241" s="79"/>
      <c r="S241" s="69"/>
    </row>
    <row r="242" spans="2:19" ht="24.75" customHeight="1" x14ac:dyDescent="0.15">
      <c r="B242" s="107"/>
      <c r="C242" s="85"/>
      <c r="D242" s="86"/>
      <c r="E242" s="76" t="str">
        <f>IFERROR(VLOOKUP(工单表[[#This Row],[责任人]],表3[[人员]:[岗位]],2,FALSE),"")</f>
        <v/>
      </c>
      <c r="F242" s="71"/>
      <c r="G242" s="85"/>
      <c r="H242" s="103"/>
      <c r="I242" s="85"/>
      <c r="J242" s="104"/>
      <c r="K242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2" s="85"/>
      <c r="M242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2" s="72"/>
      <c r="O242" s="73"/>
      <c r="P242" s="74"/>
      <c r="Q242" s="70"/>
      <c r="R242" s="79"/>
      <c r="S242" s="69"/>
    </row>
    <row r="243" spans="2:19" ht="24.75" customHeight="1" x14ac:dyDescent="0.15">
      <c r="B243" s="107"/>
      <c r="C243" s="85"/>
      <c r="D243" s="86"/>
      <c r="E243" s="76" t="str">
        <f>IFERROR(VLOOKUP(工单表[[#This Row],[责任人]],表3[[人员]:[岗位]],2,FALSE),"")</f>
        <v/>
      </c>
      <c r="F243" s="71"/>
      <c r="G243" s="85"/>
      <c r="H243" s="103"/>
      <c r="I243" s="85"/>
      <c r="J243" s="104"/>
      <c r="K243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3" s="85"/>
      <c r="M243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3" s="72"/>
      <c r="O243" s="73"/>
      <c r="P243" s="74"/>
      <c r="Q243" s="70"/>
      <c r="R243" s="79"/>
      <c r="S243" s="69"/>
    </row>
    <row r="244" spans="2:19" ht="24.75" customHeight="1" x14ac:dyDescent="0.15">
      <c r="B244" s="107"/>
      <c r="C244" s="85"/>
      <c r="D244" s="86"/>
      <c r="E244" s="76" t="str">
        <f>IFERROR(VLOOKUP(工单表[[#This Row],[责任人]],表3[[人员]:[岗位]],2,FALSE),"")</f>
        <v/>
      </c>
      <c r="F244" s="71"/>
      <c r="G244" s="85"/>
      <c r="H244" s="103"/>
      <c r="I244" s="85"/>
      <c r="J244" s="104"/>
      <c r="K244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4" s="85"/>
      <c r="M244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4" s="72"/>
      <c r="O244" s="73"/>
      <c r="P244" s="74"/>
      <c r="Q244" s="70"/>
      <c r="R244" s="79"/>
      <c r="S244" s="69"/>
    </row>
    <row r="245" spans="2:19" ht="24.75" customHeight="1" x14ac:dyDescent="0.15">
      <c r="B245" s="107"/>
      <c r="C245" s="85"/>
      <c r="D245" s="86"/>
      <c r="E245" s="76" t="str">
        <f>IFERROR(VLOOKUP(工单表[[#This Row],[责任人]],表3[[人员]:[岗位]],2,FALSE),"")</f>
        <v/>
      </c>
      <c r="F245" s="71"/>
      <c r="G245" s="85"/>
      <c r="H245" s="103"/>
      <c r="I245" s="85"/>
      <c r="J245" s="104"/>
      <c r="K245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5" s="85"/>
      <c r="M245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5" s="72"/>
      <c r="O245" s="73"/>
      <c r="P245" s="74"/>
      <c r="Q245" s="70"/>
      <c r="R245" s="79"/>
      <c r="S245" s="69"/>
    </row>
    <row r="246" spans="2:19" ht="24.75" customHeight="1" x14ac:dyDescent="0.15">
      <c r="B246" s="107"/>
      <c r="C246" s="85"/>
      <c r="D246" s="86"/>
      <c r="E246" s="76" t="str">
        <f>IFERROR(VLOOKUP(工单表[[#This Row],[责任人]],表3[[人员]:[岗位]],2,FALSE),"")</f>
        <v/>
      </c>
      <c r="F246" s="71"/>
      <c r="G246" s="85"/>
      <c r="H246" s="103"/>
      <c r="I246" s="85"/>
      <c r="J246" s="104"/>
      <c r="K246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6" s="85"/>
      <c r="M246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6" s="72"/>
      <c r="O246" s="73"/>
      <c r="P246" s="74"/>
      <c r="Q246" s="70"/>
      <c r="R246" s="79"/>
      <c r="S246" s="69"/>
    </row>
    <row r="247" spans="2:19" ht="24.75" customHeight="1" x14ac:dyDescent="0.15">
      <c r="B247" s="107"/>
      <c r="C247" s="85"/>
      <c r="D247" s="86"/>
      <c r="E247" s="76" t="str">
        <f>IFERROR(VLOOKUP(工单表[[#This Row],[责任人]],表3[[人员]:[岗位]],2,FALSE),"")</f>
        <v/>
      </c>
      <c r="F247" s="71"/>
      <c r="G247" s="85"/>
      <c r="H247" s="103"/>
      <c r="I247" s="85"/>
      <c r="J247" s="104"/>
      <c r="K247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7" s="85"/>
      <c r="M247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7" s="72"/>
      <c r="O247" s="73"/>
      <c r="P247" s="74"/>
      <c r="Q247" s="70"/>
      <c r="R247" s="79"/>
      <c r="S247" s="69"/>
    </row>
    <row r="248" spans="2:19" ht="24.75" customHeight="1" x14ac:dyDescent="0.15">
      <c r="B248" s="107"/>
      <c r="C248" s="85"/>
      <c r="D248" s="86"/>
      <c r="E248" s="76" t="str">
        <f>IFERROR(VLOOKUP(工单表[[#This Row],[责任人]],表3[[人员]:[岗位]],2,FALSE),"")</f>
        <v/>
      </c>
      <c r="F248" s="71"/>
      <c r="G248" s="85"/>
      <c r="H248" s="103"/>
      <c r="I248" s="85"/>
      <c r="J248" s="104"/>
      <c r="K248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8" s="85"/>
      <c r="M248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8" s="72"/>
      <c r="O248" s="73"/>
      <c r="P248" s="74"/>
      <c r="Q248" s="70"/>
      <c r="R248" s="79"/>
      <c r="S248" s="69"/>
    </row>
    <row r="249" spans="2:19" ht="24.75" customHeight="1" x14ac:dyDescent="0.15">
      <c r="B249" s="107"/>
      <c r="C249" s="85"/>
      <c r="D249" s="86"/>
      <c r="E249" s="76" t="str">
        <f>IFERROR(VLOOKUP(工单表[[#This Row],[责任人]],表3[[人员]:[岗位]],2,FALSE),"")</f>
        <v/>
      </c>
      <c r="F249" s="71"/>
      <c r="G249" s="85"/>
      <c r="H249" s="103"/>
      <c r="I249" s="85"/>
      <c r="J249" s="104"/>
      <c r="K249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49" s="85"/>
      <c r="M249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49" s="72"/>
      <c r="O249" s="73"/>
      <c r="P249" s="74"/>
      <c r="Q249" s="70"/>
      <c r="R249" s="79"/>
      <c r="S249" s="69"/>
    </row>
    <row r="250" spans="2:19" ht="24.75" customHeight="1" x14ac:dyDescent="0.15">
      <c r="B250" s="107"/>
      <c r="C250" s="85"/>
      <c r="D250" s="86"/>
      <c r="E250" s="76" t="str">
        <f>IFERROR(VLOOKUP(工单表[[#This Row],[责任人]],表3[[人员]:[岗位]],2,FALSE),"")</f>
        <v/>
      </c>
      <c r="F250" s="71"/>
      <c r="G250" s="85"/>
      <c r="H250" s="103"/>
      <c r="I250" s="85"/>
      <c r="J250" s="104"/>
      <c r="K250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0" s="85"/>
      <c r="M250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0" s="72"/>
      <c r="O250" s="73"/>
      <c r="P250" s="74"/>
      <c r="Q250" s="70"/>
      <c r="R250" s="79"/>
      <c r="S250" s="69"/>
    </row>
    <row r="251" spans="2:19" ht="24.75" customHeight="1" x14ac:dyDescent="0.15">
      <c r="B251" s="107"/>
      <c r="C251" s="85"/>
      <c r="D251" s="86"/>
      <c r="E251" s="76" t="str">
        <f>IFERROR(VLOOKUP(工单表[[#This Row],[责任人]],表3[[人员]:[岗位]],2,FALSE),"")</f>
        <v/>
      </c>
      <c r="F251" s="71"/>
      <c r="G251" s="85"/>
      <c r="H251" s="103"/>
      <c r="I251" s="85"/>
      <c r="J251" s="104"/>
      <c r="K251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1" s="85"/>
      <c r="M251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1" s="72"/>
      <c r="O251" s="73"/>
      <c r="P251" s="74"/>
      <c r="Q251" s="70"/>
      <c r="R251" s="79"/>
      <c r="S251" s="69"/>
    </row>
    <row r="252" spans="2:19" ht="24.75" customHeight="1" x14ac:dyDescent="0.15">
      <c r="B252" s="107"/>
      <c r="C252" s="85"/>
      <c r="D252" s="86"/>
      <c r="E252" s="76" t="str">
        <f>IFERROR(VLOOKUP(工单表[[#This Row],[责任人]],表3[[人员]:[岗位]],2,FALSE),"")</f>
        <v/>
      </c>
      <c r="F252" s="71"/>
      <c r="G252" s="85"/>
      <c r="H252" s="103"/>
      <c r="I252" s="85"/>
      <c r="J252" s="104"/>
      <c r="K252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2" s="85"/>
      <c r="M252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2" s="72"/>
      <c r="O252" s="73"/>
      <c r="P252" s="74"/>
      <c r="Q252" s="70"/>
      <c r="R252" s="79"/>
      <c r="S252" s="69"/>
    </row>
    <row r="253" spans="2:19" ht="24.75" customHeight="1" x14ac:dyDescent="0.15">
      <c r="B253" s="107"/>
      <c r="C253" s="85"/>
      <c r="D253" s="86"/>
      <c r="E253" s="76" t="str">
        <f>IFERROR(VLOOKUP(工单表[[#This Row],[责任人]],表3[[人员]:[岗位]],2,FALSE),"")</f>
        <v/>
      </c>
      <c r="F253" s="71"/>
      <c r="G253" s="85"/>
      <c r="H253" s="103"/>
      <c r="I253" s="85"/>
      <c r="J253" s="104"/>
      <c r="K253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3" s="85"/>
      <c r="M253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3" s="72"/>
      <c r="O253" s="73"/>
      <c r="P253" s="74"/>
      <c r="Q253" s="70"/>
      <c r="R253" s="79"/>
      <c r="S253" s="69"/>
    </row>
    <row r="254" spans="2:19" ht="24.75" customHeight="1" x14ac:dyDescent="0.15">
      <c r="B254" s="107"/>
      <c r="C254" s="85"/>
      <c r="D254" s="86"/>
      <c r="E254" s="76" t="str">
        <f>IFERROR(VLOOKUP(工单表[[#This Row],[责任人]],表3[[人员]:[岗位]],2,FALSE),"")</f>
        <v/>
      </c>
      <c r="F254" s="71"/>
      <c r="G254" s="85"/>
      <c r="H254" s="103"/>
      <c r="I254" s="85"/>
      <c r="J254" s="104"/>
      <c r="K254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4" s="85"/>
      <c r="M254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4" s="72"/>
      <c r="O254" s="73"/>
      <c r="P254" s="74"/>
      <c r="Q254" s="70"/>
      <c r="R254" s="79"/>
      <c r="S254" s="69"/>
    </row>
    <row r="255" spans="2:19" ht="24.75" customHeight="1" x14ac:dyDescent="0.15">
      <c r="B255" s="107"/>
      <c r="C255" s="85"/>
      <c r="D255" s="86"/>
      <c r="E255" s="76" t="str">
        <f>IFERROR(VLOOKUP(工单表[[#This Row],[责任人]],表3[[人员]:[岗位]],2,FALSE),"")</f>
        <v/>
      </c>
      <c r="F255" s="71"/>
      <c r="G255" s="85"/>
      <c r="H255" s="103"/>
      <c r="I255" s="85"/>
      <c r="J255" s="104"/>
      <c r="K255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5" s="85"/>
      <c r="M255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5" s="72"/>
      <c r="O255" s="73"/>
      <c r="P255" s="74"/>
      <c r="Q255" s="70"/>
      <c r="R255" s="79"/>
      <c r="S255" s="69"/>
    </row>
    <row r="256" spans="2:19" ht="24.75" customHeight="1" x14ac:dyDescent="0.15">
      <c r="B256" s="107"/>
      <c r="C256" s="85"/>
      <c r="D256" s="86"/>
      <c r="E256" s="76" t="str">
        <f>IFERROR(VLOOKUP(工单表[[#This Row],[责任人]],表3[[人员]:[岗位]],2,FALSE),"")</f>
        <v/>
      </c>
      <c r="F256" s="71"/>
      <c r="G256" s="85"/>
      <c r="H256" s="103"/>
      <c r="I256" s="85"/>
      <c r="J256" s="104"/>
      <c r="K256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6" s="85"/>
      <c r="M256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6" s="72"/>
      <c r="O256" s="73"/>
      <c r="P256" s="74"/>
      <c r="Q256" s="70"/>
      <c r="R256" s="79"/>
      <c r="S256" s="69"/>
    </row>
    <row r="257" spans="2:19" ht="24.75" customHeight="1" x14ac:dyDescent="0.15">
      <c r="B257" s="107"/>
      <c r="C257" s="85"/>
      <c r="D257" s="86"/>
      <c r="E257" s="76" t="str">
        <f>IFERROR(VLOOKUP(工单表[[#This Row],[责任人]],表3[[人员]:[岗位]],2,FALSE),"")</f>
        <v/>
      </c>
      <c r="F257" s="71"/>
      <c r="G257" s="85"/>
      <c r="H257" s="103"/>
      <c r="I257" s="85"/>
      <c r="J257" s="104"/>
      <c r="K257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7" s="85"/>
      <c r="M257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7" s="72"/>
      <c r="O257" s="73"/>
      <c r="P257" s="74"/>
      <c r="Q257" s="70"/>
      <c r="R257" s="79"/>
      <c r="S257" s="69"/>
    </row>
    <row r="258" spans="2:19" ht="24.75" customHeight="1" x14ac:dyDescent="0.15">
      <c r="B258" s="107"/>
      <c r="C258" s="85"/>
      <c r="D258" s="86"/>
      <c r="E258" s="76" t="str">
        <f>IFERROR(VLOOKUP(工单表[[#This Row],[责任人]],表3[[人员]:[岗位]],2,FALSE),"")</f>
        <v/>
      </c>
      <c r="F258" s="71"/>
      <c r="G258" s="85"/>
      <c r="H258" s="103"/>
      <c r="I258" s="85"/>
      <c r="J258" s="104"/>
      <c r="K258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8" s="85"/>
      <c r="M258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8" s="72"/>
      <c r="O258" s="73"/>
      <c r="P258" s="74"/>
      <c r="Q258" s="70"/>
      <c r="R258" s="79"/>
      <c r="S258" s="69"/>
    </row>
    <row r="259" spans="2:19" ht="24.75" customHeight="1" x14ac:dyDescent="0.15">
      <c r="B259" s="107"/>
      <c r="C259" s="85"/>
      <c r="D259" s="86"/>
      <c r="E259" s="76" t="str">
        <f>IFERROR(VLOOKUP(工单表[[#This Row],[责任人]],表3[[人员]:[岗位]],2,FALSE),"")</f>
        <v/>
      </c>
      <c r="F259" s="71"/>
      <c r="G259" s="85"/>
      <c r="H259" s="103"/>
      <c r="I259" s="85"/>
      <c r="J259" s="104"/>
      <c r="K259" s="77" t="str">
        <f>IF(工单表[[#This Row],[验收备注]]="已关闭",1,IFERROR(工单表[[#This Row],[耗时]]/IF(工单表[[#This Row],[新估时]]&gt;0,工单表[[#This Row],[新估时]],工单表[[#This Row],[原估时]]),""))</f>
        <v/>
      </c>
      <c r="L259" s="85"/>
      <c r="M259" s="78" t="str">
        <f>IF(工单表[[#This Row],[前置工单]]="","",IF(INDEX(工单表[完成状态],MATCH(工单表[[#This Row],[前置工单]],工单表[工单],0),1)&amp;""&lt;&gt;"已完成",INDEX(工单表[责任人],MATCH(工单表[[#This Row],[前置工单]],工单表[工单],0),1)&amp;ROUND(INDEX(工单表[进度],MATCH(工单表[[#This Row],[前置工单]],工单表[工单],0),1)*100,0)&amp;"%","前置人已完成"))</f>
        <v/>
      </c>
      <c r="N259" s="72"/>
      <c r="O259" s="73"/>
      <c r="P259" s="74"/>
      <c r="Q259" s="70"/>
      <c r="R259" s="79"/>
      <c r="S259" s="69"/>
    </row>
  </sheetData>
  <sheetProtection formatCells="0" formatColumns="0" formatRows="0" deleteRows="0" autoFilter="0"/>
  <mergeCells count="6">
    <mergeCell ref="E2:F2"/>
    <mergeCell ref="H2:I2"/>
    <mergeCell ref="J2:K2"/>
    <mergeCell ref="B4:C4"/>
    <mergeCell ref="L2:M2"/>
    <mergeCell ref="D4:R4"/>
  </mergeCells>
  <phoneticPr fontId="3" type="noConversion"/>
  <conditionalFormatting sqref="K6:K259">
    <cfRule type="dataBar" priority="69">
      <dataBar>
        <cfvo type="num" val="0"/>
        <cfvo type="num" val="1"/>
        <color rgb="FFFC6CD6"/>
      </dataBar>
      <extLst>
        <ext xmlns:x14="http://schemas.microsoft.com/office/spreadsheetml/2009/9/main" uri="{B025F937-C7B1-47D3-B67F-A62EFF666E3E}">
          <x14:id>{35005C10-9CC6-4C2A-B805-4C7C386742F1}</x14:id>
        </ext>
      </extLst>
    </cfRule>
  </conditionalFormatting>
  <conditionalFormatting sqref="E3:P3 D4">
    <cfRule type="dataBar" priority="66">
      <dataBar>
        <cfvo type="num" val="0"/>
        <cfvo type="num" val="1"/>
        <color rgb="FF00FF00"/>
      </dataBar>
      <extLst>
        <ext xmlns:x14="http://schemas.microsoft.com/office/spreadsheetml/2009/9/main" uri="{B025F937-C7B1-47D3-B67F-A62EFF666E3E}">
          <x14:id>{1FC5DADB-4C6B-4FEC-8CFF-427FF054B360}</x14:id>
        </ext>
      </extLst>
    </cfRule>
  </conditionalFormatting>
  <conditionalFormatting sqref="O6:O259">
    <cfRule type="cellIs" dxfId="27" priority="53" operator="equal">
      <formula>"已完成"</formula>
    </cfRule>
    <cfRule type="cellIs" dxfId="26" priority="54" operator="equal">
      <formula>"未通过"</formula>
    </cfRule>
  </conditionalFormatting>
  <conditionalFormatting sqref="L6:L259">
    <cfRule type="expression" dxfId="25" priority="48">
      <formula>$M6="前置人已完成"</formula>
    </cfRule>
  </conditionalFormatting>
  <conditionalFormatting sqref="F6:F259">
    <cfRule type="colorScale" priority="47">
      <colorScale>
        <cfvo type="num" val="1"/>
        <cfvo type="num" val="5"/>
        <color rgb="FFFF0000"/>
        <color rgb="FFFFFF00"/>
      </colorScale>
    </cfRule>
  </conditionalFormatting>
  <conditionalFormatting sqref="B1:B1048576">
    <cfRule type="duplicateValues" dxfId="24" priority="44"/>
  </conditionalFormatting>
  <conditionalFormatting sqref="D1:D1048576">
    <cfRule type="duplicateValues" dxfId="23" priority="1"/>
  </conditionalFormatting>
  <conditionalFormatting sqref="B6:S259">
    <cfRule type="expression" dxfId="22" priority="2">
      <formula>$O6="已取消"</formula>
    </cfRule>
    <cfRule type="expression" dxfId="21" priority="3">
      <formula>$O6="已关闭"</formula>
    </cfRule>
  </conditionalFormatting>
  <dataValidations count="4">
    <dataValidation allowBlank="1" showInputMessage="1" showErrorMessage="1" prompt="最大工单号，用于需要自动生成工单的情况" sqref="C1"/>
    <dataValidation allowBlank="1" showInputMessage="1" showErrorMessage="1" promptTitle="开始时间————————————————————————" prompt="每个新版本，起始时间必须要修改_x000a_也不能随意修改" sqref="N2"/>
    <dataValidation type="list" allowBlank="1" showInputMessage="1" showErrorMessage="1" sqref="Q6:Q259">
      <formula1>"已确认,新增内容"</formula1>
    </dataValidation>
    <dataValidation type="list" allowBlank="1" showInputMessage="1" showErrorMessage="1" sqref="S6:S259">
      <formula1>"--,★★★★★,★★★★,★★★,★★,★"</formula1>
    </dataValidation>
  </dataValidations>
  <hyperlinks>
    <hyperlink ref="D25" r:id="rId1"/>
    <hyperlink ref="D33" r:id="rId2"/>
    <hyperlink ref="D9" r:id="rId3"/>
    <hyperlink ref="D8" r:id="rId4"/>
    <hyperlink ref="D7" r:id="rId5"/>
    <hyperlink ref="D6" r:id="rId6"/>
    <hyperlink ref="D53" r:id="rId7"/>
    <hyperlink ref="D54" r:id="rId8"/>
    <hyperlink ref="D62" r:id="rId9"/>
    <hyperlink ref="D63" r:id="rId10"/>
    <hyperlink ref="D64" r:id="rId11"/>
  </hyperlinks>
  <pageMargins left="0.69930555555555596" right="0.69930555555555596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174" r:id="rId15" name="TextBox1">
          <controlPr defaultSize="0" autoLine="0" r:id="rId16">
            <anchor moveWithCells="1">
              <from>
                <xdr:col>4</xdr:col>
                <xdr:colOff>76200</xdr:colOff>
                <xdr:row>11</xdr:row>
                <xdr:rowOff>257175</xdr:rowOff>
              </from>
              <to>
                <xdr:col>13</xdr:col>
                <xdr:colOff>552450</xdr:colOff>
                <xdr:row>15</xdr:row>
                <xdr:rowOff>28575</xdr:rowOff>
              </to>
            </anchor>
          </controlPr>
        </control>
      </mc:Choice>
      <mc:Fallback>
        <control shapeId="1174" r:id="rId15" name="TextBox1"/>
      </mc:Fallback>
    </mc:AlternateContent>
    <mc:AlternateContent xmlns:mc="http://schemas.openxmlformats.org/markup-compatibility/2006">
      <mc:Choice Requires="x14">
        <control shapeId="1167" r:id="rId17" name="ComboBox1">
          <controlPr defaultSize="0" autoLine="0" listFillRange="A1:A6" r:id="rId18">
            <anchor moveWithCells="1">
              <from>
                <xdr:col>3</xdr:col>
                <xdr:colOff>2466975</xdr:colOff>
                <xdr:row>48</xdr:row>
                <xdr:rowOff>123825</xdr:rowOff>
              </from>
              <to>
                <xdr:col>3</xdr:col>
                <xdr:colOff>3467100</xdr:colOff>
                <xdr:row>48</xdr:row>
                <xdr:rowOff>285750</xdr:rowOff>
              </to>
            </anchor>
          </controlPr>
        </control>
      </mc:Choice>
      <mc:Fallback>
        <control shapeId="1167" r:id="rId17" name="ComboBox1"/>
      </mc:Fallback>
    </mc:AlternateContent>
    <mc:AlternateContent xmlns:mc="http://schemas.openxmlformats.org/markup-compatibility/2006">
      <mc:Choice Requires="x14">
        <control shapeId="1168" r:id="rId19" name="TextBox2">
          <controlPr defaultSize="0" autoLine="0" r:id="rId20">
            <anchor moveWithCells="1">
              <from>
                <xdr:col>3</xdr:col>
                <xdr:colOff>1304925</xdr:colOff>
                <xdr:row>48</xdr:row>
                <xdr:rowOff>123825</xdr:rowOff>
              </from>
              <to>
                <xdr:col>3</xdr:col>
                <xdr:colOff>2171700</xdr:colOff>
                <xdr:row>48</xdr:row>
                <xdr:rowOff>285750</xdr:rowOff>
              </to>
            </anchor>
          </controlPr>
        </control>
      </mc:Choice>
      <mc:Fallback>
        <control shapeId="1168" r:id="rId19" name="TextBox2"/>
      </mc:Fallback>
    </mc:AlternateContent>
    <mc:AlternateContent xmlns:mc="http://schemas.openxmlformats.org/markup-compatibility/2006">
      <mc:Choice Requires="x14">
        <control shapeId="1169" r:id="rId21" name="TextBox3">
          <controlPr defaultSize="0" autoLine="0" r:id="rId22">
            <anchor moveWithCells="1">
              <from>
                <xdr:col>3</xdr:col>
                <xdr:colOff>95250</xdr:colOff>
                <xdr:row>49</xdr:row>
                <xdr:rowOff>219075</xdr:rowOff>
              </from>
              <to>
                <xdr:col>3</xdr:col>
                <xdr:colOff>3457575</xdr:colOff>
                <xdr:row>51</xdr:row>
                <xdr:rowOff>38100</xdr:rowOff>
              </to>
            </anchor>
          </controlPr>
        </control>
      </mc:Choice>
      <mc:Fallback>
        <control shapeId="1169" r:id="rId21" name="TextBox3"/>
      </mc:Fallback>
    </mc:AlternateContent>
  </controls>
  <tableParts count="1">
    <tablePart r:id="rId2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005C10-9CC6-4C2A-B805-4C7C386742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K6:K259</xm:sqref>
        </x14:conditionalFormatting>
        <x14:conditionalFormatting xmlns:xm="http://schemas.microsoft.com/office/excel/2006/main">
          <x14:cfRule type="dataBar" id="{1FC5DADB-4C6B-4FEC-8CFF-427FF054B3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E3:P3 D4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数据统计!$M$2:$M$10</xm:f>
          </x14:formula1>
          <xm:sqref>F6:F259</xm:sqref>
        </x14:dataValidation>
        <x14:dataValidation type="list" allowBlank="1" showInputMessage="1" showErrorMessage="1">
          <x14:formula1>
            <xm:f>数据统计!$C$5:$C$14</xm:f>
          </x14:formula1>
          <xm:sqref>C6:C259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"/>
  <sheetViews>
    <sheetView workbookViewId="0">
      <pane ySplit="1" topLeftCell="A59" activePane="bottomLeft" state="frozenSplit"/>
      <selection pane="bottomLeft" sqref="A1:I4"/>
    </sheetView>
  </sheetViews>
  <sheetFormatPr defaultColWidth="9" defaultRowHeight="11.25" x14ac:dyDescent="0.15"/>
  <cols>
    <col min="1" max="1" width="6" style="11" bestFit="1" customWidth="1"/>
    <col min="2" max="2" width="14.5" style="12" customWidth="1"/>
    <col min="3" max="3" width="7.375" style="13" customWidth="1"/>
    <col min="4" max="4" width="70.125" style="13" customWidth="1"/>
    <col min="5" max="5" width="5.375" style="13" customWidth="1"/>
    <col min="6" max="6" width="5.5" style="13" customWidth="1"/>
    <col min="7" max="7" width="8.75" style="11" customWidth="1"/>
    <col min="8" max="8" width="6.875" style="13" customWidth="1"/>
    <col min="9" max="9" width="59.5" style="11" customWidth="1"/>
    <col min="10" max="10" width="7.125" style="10" bestFit="1" customWidth="1"/>
    <col min="11" max="11" width="3.5" style="10" bestFit="1" customWidth="1"/>
    <col min="12" max="12" width="11" style="10" bestFit="1" customWidth="1"/>
    <col min="13" max="13" width="6.375" style="10" customWidth="1"/>
    <col min="14" max="14" width="5.25" style="10" bestFit="1" customWidth="1"/>
    <col min="15" max="15" width="9" style="10"/>
    <col min="16" max="16" width="7.5" style="10" bestFit="1" customWidth="1"/>
    <col min="17" max="17" width="15.125" style="10" bestFit="1" customWidth="1"/>
    <col min="18" max="16384" width="9" style="10"/>
  </cols>
  <sheetData>
    <row r="1" spans="1:18" s="9" customFormat="1" x14ac:dyDescent="0.15">
      <c r="A1" s="5" t="s">
        <v>159</v>
      </c>
      <c r="B1" s="6" t="s">
        <v>52</v>
      </c>
      <c r="C1" s="7" t="s">
        <v>53</v>
      </c>
      <c r="D1" s="7" t="s">
        <v>54</v>
      </c>
      <c r="E1" s="7" t="s">
        <v>55</v>
      </c>
      <c r="F1" s="7" t="s">
        <v>56</v>
      </c>
      <c r="G1" s="7" t="s">
        <v>57</v>
      </c>
      <c r="H1" s="7" t="s">
        <v>58</v>
      </c>
      <c r="I1" s="8" t="s">
        <v>59</v>
      </c>
    </row>
    <row r="2" spans="1:18" x14ac:dyDescent="0.15">
      <c r="A2" s="11" t="s">
        <v>11</v>
      </c>
      <c r="B2" s="12">
        <v>43059.42083333333</v>
      </c>
      <c r="C2" s="13">
        <v>0</v>
      </c>
      <c r="G2" s="11" t="s">
        <v>50</v>
      </c>
      <c r="H2" s="13">
        <v>3011</v>
      </c>
      <c r="I2" s="11" t="s">
        <v>150</v>
      </c>
    </row>
    <row r="3" spans="1:18" x14ac:dyDescent="0.15">
      <c r="A3" s="11" t="s">
        <v>11</v>
      </c>
      <c r="B3" s="12">
        <v>43059.844733796293</v>
      </c>
      <c r="C3" s="13">
        <v>1</v>
      </c>
      <c r="G3" s="11" t="s">
        <v>50</v>
      </c>
      <c r="H3" s="13">
        <v>3015</v>
      </c>
      <c r="I3" s="11" t="s">
        <v>151</v>
      </c>
    </row>
    <row r="4" spans="1:18" x14ac:dyDescent="0.15">
      <c r="A4" s="11" t="s">
        <v>11</v>
      </c>
      <c r="B4" s="12">
        <v>43061.411932870367</v>
      </c>
      <c r="C4" s="13">
        <v>4</v>
      </c>
      <c r="G4" s="11" t="s">
        <v>50</v>
      </c>
      <c r="H4" s="13">
        <v>3009</v>
      </c>
      <c r="I4" s="11" t="s">
        <v>147</v>
      </c>
    </row>
    <row r="5" spans="1:18" x14ac:dyDescent="0.15">
      <c r="G5" s="97"/>
    </row>
    <row r="6" spans="1:18" x14ac:dyDescent="0.15">
      <c r="D6" s="83"/>
      <c r="R6" s="33"/>
    </row>
  </sheetData>
  <sheetProtection formatCells="0" formatColumns="0" formatRows="0" deleteRows="0" autoFilter="0"/>
  <autoFilter ref="A1:I1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数据统计</vt:lpstr>
      <vt:lpstr>计划内容</vt:lpstr>
      <vt:lpstr>人员动态</vt:lpstr>
      <vt:lpstr>组合1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2018-06-20T08:38:56Z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2052-10.1.0.6660</vt:lpwstr>
  </property>
</Properties>
</file>